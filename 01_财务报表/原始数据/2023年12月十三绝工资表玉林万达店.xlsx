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4175"/>
  </bookViews>
  <sheets>
    <sheet name="店面工资核算表" sheetId="1" r:id="rId1"/>
    <sheet name="店长+技师老师提成" sheetId="3" r:id="rId2"/>
    <sheet name="考勤表" sheetId="4" r:id="rId3"/>
  </sheets>
  <definedNames>
    <definedName name="_xlnm._FilterDatabase" localSheetId="0" hidden="1">店面工资核算表!$A$2:$G$16</definedName>
  </definedNames>
  <calcPr calcId="144525"/>
</workbook>
</file>

<file path=xl/comments1.xml><?xml version="1.0" encoding="utf-8"?>
<comments xmlns="http://schemas.openxmlformats.org/spreadsheetml/2006/main">
  <authors>
    <author>Administrator</author>
    <author>NING MEI</author>
    <author>财务老师</author>
  </authors>
  <commentList>
    <comment ref="AC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技师开卡金额是精英班奖励</t>
        </r>
      </text>
    </comment>
    <comment ref="AD3" authorId="1">
      <text>
        <r>
          <rPr>
            <b/>
            <sz val="9"/>
            <rFont val="宋体"/>
            <charset val="134"/>
          </rPr>
          <t>NING MEI:</t>
        </r>
        <r>
          <rPr>
            <sz val="9"/>
            <rFont val="宋体"/>
            <charset val="134"/>
          </rPr>
          <t xml:space="preserve">
美团评价</t>
        </r>
      </text>
    </comment>
    <comment ref="AF3" authorId="1">
      <text>
        <r>
          <rPr>
            <b/>
            <sz val="9"/>
            <rFont val="宋体"/>
            <charset val="134"/>
          </rPr>
          <t>NING MEI:</t>
        </r>
        <r>
          <rPr>
            <sz val="9"/>
            <rFont val="宋体"/>
            <charset val="134"/>
          </rPr>
          <t xml:space="preserve">
未达标包含：前台好评率
技师点客率、客诉、差评、点客率
</t>
        </r>
      </text>
    </comment>
    <comment ref="AG3" authorId="1">
      <text>
        <r>
          <rPr>
            <b/>
            <sz val="9"/>
            <rFont val="宋体"/>
            <charset val="134"/>
          </rPr>
          <t>NING MEI:</t>
        </r>
        <r>
          <rPr>
            <sz val="9"/>
            <rFont val="宋体"/>
            <charset val="134"/>
          </rPr>
          <t xml:space="preserve">
未达标包含：前台好评率
技师点客率、客诉、差评、点客率
</t>
        </r>
      </text>
    </comment>
    <comment ref="AB8" authorId="2">
      <text>
        <r>
          <rPr>
            <sz val="9"/>
            <rFont val="宋体"/>
            <charset val="134"/>
          </rPr>
          <t>技师培训补贴</t>
        </r>
      </text>
    </comment>
    <comment ref="AB9" authorId="2">
      <text>
        <r>
          <rPr>
            <sz val="9"/>
            <rFont val="宋体"/>
            <charset val="134"/>
          </rPr>
          <t>技师培训补贴</t>
        </r>
      </text>
    </comment>
    <comment ref="AB10" authorId="2">
      <text>
        <r>
          <rPr>
            <sz val="9"/>
            <rFont val="宋体"/>
            <charset val="134"/>
          </rPr>
          <t>技师培训补贴</t>
        </r>
      </text>
    </comment>
    <comment ref="AB11" authorId="2">
      <text>
        <r>
          <rPr>
            <sz val="9"/>
            <rFont val="宋体"/>
            <charset val="134"/>
          </rPr>
          <t>技师培训补贴</t>
        </r>
      </text>
    </comment>
    <comment ref="AB12" authorId="2">
      <text>
        <r>
          <rPr>
            <sz val="9"/>
            <rFont val="宋体"/>
            <charset val="134"/>
          </rPr>
          <t>技师培训补贴</t>
        </r>
      </text>
    </comment>
    <comment ref="AB13" authorId="2">
      <text>
        <r>
          <rPr>
            <sz val="9"/>
            <rFont val="宋体"/>
            <charset val="134"/>
          </rPr>
          <t>技师培训补贴</t>
        </r>
      </text>
    </comment>
    <comment ref="AB14" authorId="2">
      <text>
        <r>
          <rPr>
            <sz val="9"/>
            <rFont val="宋体"/>
            <charset val="134"/>
          </rPr>
          <t>技师培训补贴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C3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Administrator:
休假写一个休字在表格内
</t>
        </r>
      </text>
    </comment>
    <comment ref="E3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Administrator:
事假写一个事在表格内就好了
</t>
        </r>
      </text>
    </comment>
  </commentList>
</comments>
</file>

<file path=xl/sharedStrings.xml><?xml version="1.0" encoding="utf-8"?>
<sst xmlns="http://schemas.openxmlformats.org/spreadsheetml/2006/main" count="295" uniqueCount="117">
  <si>
    <t>2023年12月十三绝玉林万达店人员工资</t>
  </si>
  <si>
    <t>序号</t>
  </si>
  <si>
    <t>姓名</t>
  </si>
  <si>
    <t>入职日期</t>
  </si>
  <si>
    <t>培训时长</t>
  </si>
  <si>
    <t>正式上钟日期</t>
  </si>
  <si>
    <t>所属店铺</t>
  </si>
  <si>
    <t>岗位</t>
  </si>
  <si>
    <t>应出勤天数</t>
  </si>
  <si>
    <t>实际出勤天数</t>
  </si>
  <si>
    <t>应发底薪</t>
  </si>
  <si>
    <t>实发底薪</t>
  </si>
  <si>
    <t>津贴</t>
  </si>
  <si>
    <t>总劳动业绩</t>
  </si>
  <si>
    <t>业绩提成</t>
  </si>
  <si>
    <t>开卡充值、套餐提成</t>
  </si>
  <si>
    <t>基础提成</t>
  </si>
  <si>
    <t>工资小计</t>
  </si>
  <si>
    <t>加福利补贴项：</t>
  </si>
  <si>
    <t>减津贴考核项：</t>
  </si>
  <si>
    <t>减其他补贴扣款明细：</t>
  </si>
  <si>
    <t>应发工资合计</t>
  </si>
  <si>
    <t>减公司代付代缴项</t>
  </si>
  <si>
    <t>减预支</t>
  </si>
  <si>
    <t>预留款</t>
  </si>
  <si>
    <t>实际发放</t>
  </si>
  <si>
    <t>备注</t>
  </si>
  <si>
    <t>指定业绩</t>
  </si>
  <si>
    <t>指定提成点</t>
  </si>
  <si>
    <t>指定提成</t>
  </si>
  <si>
    <t>非指定业绩</t>
  </si>
  <si>
    <t>非指定提成点</t>
  </si>
  <si>
    <t>非指定提成</t>
  </si>
  <si>
    <t>开卡总金额</t>
  </si>
  <si>
    <t>开卡提成点</t>
  </si>
  <si>
    <t>开卡提成</t>
  </si>
  <si>
    <t>加奖金</t>
  </si>
  <si>
    <t>加证书补贴</t>
  </si>
  <si>
    <t>加工龄补贴</t>
  </si>
  <si>
    <t>加岗位补贴</t>
  </si>
  <si>
    <t>加门店充值奖励</t>
  </si>
  <si>
    <t>加美团/抖音奖励</t>
  </si>
  <si>
    <t>减点客未达标</t>
  </si>
  <si>
    <t>减业绩未达标</t>
  </si>
  <si>
    <t>减充值未达标</t>
  </si>
  <si>
    <t>减好评未达标</t>
  </si>
  <si>
    <t>减差评客诉</t>
  </si>
  <si>
    <t>减请假/迟到</t>
  </si>
  <si>
    <t>其他扣补贴明细/未达标</t>
  </si>
  <si>
    <t>减绩效</t>
  </si>
  <si>
    <t>减餐费</t>
  </si>
  <si>
    <t>减水电物业</t>
  </si>
  <si>
    <t>减房费</t>
  </si>
  <si>
    <t>减社保</t>
  </si>
  <si>
    <t>减个税</t>
  </si>
  <si>
    <t>减工服</t>
  </si>
  <si>
    <t>庞宗媛</t>
  </si>
  <si>
    <t>玉林万达</t>
  </si>
  <si>
    <t>店长</t>
  </si>
  <si>
    <t>陈思晓</t>
  </si>
  <si>
    <t>前台</t>
  </si>
  <si>
    <t>麦显银</t>
  </si>
  <si>
    <t>谢林君</t>
  </si>
  <si>
    <t>梁锡模</t>
  </si>
  <si>
    <t>技师</t>
  </si>
  <si>
    <t>李敏</t>
  </si>
  <si>
    <t>李林</t>
  </si>
  <si>
    <t>叶娟秀</t>
  </si>
  <si>
    <t>夏亚清</t>
  </si>
  <si>
    <t>唐善莲</t>
  </si>
  <si>
    <t>吕豪</t>
  </si>
  <si>
    <t>十三绝XX月份店长提成</t>
  </si>
  <si>
    <t>利润奖励</t>
  </si>
  <si>
    <t>考核扣款项</t>
  </si>
  <si>
    <t>绩效汇总</t>
  </si>
  <si>
    <t>利润总额</t>
  </si>
  <si>
    <t>奖励点</t>
  </si>
  <si>
    <t>利润提成</t>
  </si>
  <si>
    <t>评分</t>
  </si>
  <si>
    <t>提成发放百分比</t>
  </si>
  <si>
    <t>实际利润提成</t>
  </si>
  <si>
    <t>减差评</t>
  </si>
  <si>
    <t>减客诉</t>
  </si>
  <si>
    <t>合计</t>
  </si>
  <si>
    <t>出勤汇总</t>
  </si>
  <si>
    <t>玉林店-考勤统计</t>
  </si>
  <si>
    <t>出勤情况</t>
  </si>
  <si>
    <t>日期</t>
  </si>
  <si>
    <t>年</t>
  </si>
  <si>
    <t>月</t>
  </si>
  <si>
    <t>A班合计</t>
  </si>
  <si>
    <t>B班合计</t>
  </si>
  <si>
    <t>C班合计</t>
  </si>
  <si>
    <t>休3h合计</t>
  </si>
  <si>
    <t>全天班合计</t>
  </si>
  <si>
    <t>休息</t>
  </si>
  <si>
    <t>出勤</t>
  </si>
  <si>
    <t>事假</t>
  </si>
  <si>
    <t>年假</t>
  </si>
  <si>
    <t>病假</t>
  </si>
  <si>
    <t>餐费</t>
  </si>
  <si>
    <t>排班</t>
  </si>
  <si>
    <t>A</t>
  </si>
  <si>
    <t>B</t>
  </si>
  <si>
    <t>休</t>
  </si>
  <si>
    <t>A班（11-17点）</t>
  </si>
  <si>
    <t>C</t>
  </si>
  <si>
    <t>B班（17-23点）</t>
  </si>
  <si>
    <t>C班（17-23点）</t>
  </si>
  <si>
    <t>A班（11-20点）</t>
  </si>
  <si>
    <t>B班（14-23点）</t>
  </si>
  <si>
    <t>多休的天数算请假</t>
  </si>
  <si>
    <t>注：</t>
  </si>
  <si>
    <r>
      <rPr>
        <sz val="11"/>
        <rFont val="宋体"/>
        <charset val="134"/>
        <scheme val="major"/>
      </rPr>
      <t>休假填写一个</t>
    </r>
    <r>
      <rPr>
        <sz val="11"/>
        <color rgb="FFFF0000"/>
        <rFont val="宋体"/>
        <charset val="134"/>
        <scheme val="major"/>
      </rPr>
      <t>休</t>
    </r>
    <r>
      <rPr>
        <sz val="11"/>
        <rFont val="宋体"/>
        <charset val="134"/>
        <scheme val="major"/>
      </rPr>
      <t>字在表格内</t>
    </r>
  </si>
  <si>
    <r>
      <rPr>
        <sz val="11"/>
        <rFont val="宋体"/>
        <charset val="134"/>
        <scheme val="major"/>
      </rPr>
      <t>事假填写一个</t>
    </r>
    <r>
      <rPr>
        <sz val="11"/>
        <color rgb="FFFF0000"/>
        <rFont val="宋体"/>
        <charset val="134"/>
        <scheme val="major"/>
      </rPr>
      <t>事</t>
    </r>
    <r>
      <rPr>
        <sz val="11"/>
        <rFont val="宋体"/>
        <charset val="134"/>
        <scheme val="major"/>
      </rPr>
      <t>在表格内</t>
    </r>
  </si>
  <si>
    <r>
      <rPr>
        <sz val="11"/>
        <rFont val="宋体"/>
        <charset val="134"/>
        <scheme val="major"/>
      </rPr>
      <t>保洁阿姨全天班的话写一个</t>
    </r>
    <r>
      <rPr>
        <sz val="11"/>
        <color rgb="FFFF0000"/>
        <rFont val="宋体"/>
        <charset val="134"/>
        <scheme val="major"/>
      </rPr>
      <t>全</t>
    </r>
    <r>
      <rPr>
        <sz val="11"/>
        <rFont val="宋体"/>
        <charset val="134"/>
        <scheme val="major"/>
      </rPr>
      <t>字</t>
    </r>
  </si>
  <si>
    <r>
      <rPr>
        <sz val="11"/>
        <rFont val="宋体"/>
        <charset val="134"/>
        <scheme val="major"/>
      </rPr>
      <t>休半天就写个</t>
    </r>
    <r>
      <rPr>
        <sz val="11"/>
        <color rgb="FFFF0000"/>
        <rFont val="宋体"/>
        <charset val="134"/>
        <scheme val="major"/>
      </rPr>
      <t>休半天</t>
    </r>
  </si>
</sst>
</file>

<file path=xl/styles.xml><?xml version="1.0" encoding="utf-8"?>
<styleSheet xmlns="http://schemas.openxmlformats.org/spreadsheetml/2006/main" xmlns:xr9="http://schemas.microsoft.com/office/spreadsheetml/2016/revision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"/>
    <numFmt numFmtId="177" formatCode="aaa"/>
    <numFmt numFmtId="178" formatCode="0.00_ "/>
    <numFmt numFmtId="179" formatCode="yyyy/m/d;@"/>
    <numFmt numFmtId="180" formatCode="0.0_ "/>
  </numFmts>
  <fonts count="7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sz val="12"/>
      <name val="黑体"/>
      <charset val="134"/>
    </font>
    <font>
      <sz val="11"/>
      <name val="宋体"/>
      <charset val="134"/>
      <scheme val="major"/>
    </font>
    <font>
      <sz val="11"/>
      <name val="黑体"/>
      <charset val="134"/>
    </font>
    <font>
      <sz val="14"/>
      <name val="黑体"/>
      <charset val="134"/>
    </font>
    <font>
      <sz val="11"/>
      <color theme="1"/>
      <name val="黑体"/>
      <charset val="134"/>
    </font>
    <font>
      <sz val="11"/>
      <color rgb="FF000000"/>
      <name val="宋体"/>
      <charset val="134"/>
    </font>
    <font>
      <b/>
      <sz val="12"/>
      <name val="黑体"/>
      <charset val="134"/>
    </font>
    <font>
      <sz val="12"/>
      <color rgb="FFFF0000"/>
      <name val="黑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name val="宋体"/>
      <charset val="134"/>
    </font>
    <font>
      <sz val="12"/>
      <color rgb="FF000000"/>
      <name val="宋体"/>
      <charset val="134"/>
    </font>
    <font>
      <b/>
      <sz val="9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b/>
      <sz val="10"/>
      <name val="宋体"/>
      <charset val="134"/>
    </font>
    <font>
      <sz val="10"/>
      <color rgb="FFFF0000"/>
      <name val="宋体"/>
      <charset val="134"/>
    </font>
    <font>
      <sz val="10"/>
      <color theme="1"/>
      <name val="宋体"/>
      <charset val="134"/>
      <scheme val="major"/>
    </font>
    <font>
      <b/>
      <sz val="18"/>
      <color theme="1"/>
      <name val="黑体"/>
      <charset val="134"/>
    </font>
    <font>
      <b/>
      <sz val="10"/>
      <color theme="0"/>
      <name val="宋体"/>
      <charset val="134"/>
      <scheme val="major"/>
    </font>
    <font>
      <sz val="10"/>
      <color theme="1"/>
      <name val="黑体"/>
      <charset val="134"/>
    </font>
    <font>
      <sz val="11"/>
      <color indexed="8"/>
      <name val="黑体"/>
      <charset val="134"/>
    </font>
    <font>
      <sz val="11"/>
      <color theme="9" tint="-0.25"/>
      <name val="黑体"/>
      <charset val="134"/>
    </font>
    <font>
      <sz val="9"/>
      <color theme="1"/>
      <name val="宋体"/>
      <charset val="134"/>
      <scheme val="minor"/>
    </font>
    <font>
      <sz val="11"/>
      <color theme="3"/>
      <name val="黑体"/>
      <charset val="134"/>
    </font>
    <font>
      <sz val="11"/>
      <color theme="4" tint="-0.25"/>
      <name val="黑体"/>
      <charset val="134"/>
    </font>
    <font>
      <sz val="11"/>
      <name val="宋体"/>
      <charset val="134"/>
      <scheme val="minor"/>
    </font>
    <font>
      <b/>
      <sz val="20"/>
      <color rgb="FF000000"/>
      <name val="黑体"/>
      <charset val="134"/>
    </font>
    <font>
      <b/>
      <sz val="9"/>
      <color rgb="FF000000"/>
      <name val="宋体"/>
      <charset val="134"/>
    </font>
    <font>
      <b/>
      <sz val="8"/>
      <color rgb="FF000000"/>
      <name val="宋体"/>
      <charset val="134"/>
    </font>
    <font>
      <sz val="10"/>
      <name val="微软雅黑"/>
      <charset val="134"/>
    </font>
    <font>
      <sz val="9"/>
      <name val="宋体"/>
      <charset val="134"/>
    </font>
    <font>
      <sz val="11"/>
      <color theme="1"/>
      <name val="宋体"/>
      <charset val="134"/>
      <scheme val="major"/>
    </font>
    <font>
      <sz val="11"/>
      <color theme="1"/>
      <name val="宋体"/>
      <charset val="134"/>
    </font>
    <font>
      <b/>
      <sz val="20"/>
      <name val="黑体"/>
      <charset val="134"/>
    </font>
    <font>
      <b/>
      <sz val="20"/>
      <color theme="3"/>
      <name val="黑体"/>
      <charset val="134"/>
    </font>
    <font>
      <b/>
      <sz val="10"/>
      <name val="黑体"/>
      <charset val="134"/>
    </font>
    <font>
      <b/>
      <sz val="10"/>
      <color theme="3"/>
      <name val="黑体"/>
      <charset val="134"/>
    </font>
    <font>
      <b/>
      <sz val="10"/>
      <color theme="4" tint="-0.25"/>
      <name val="黑体"/>
      <charset val="134"/>
    </font>
    <font>
      <b/>
      <sz val="20"/>
      <color theme="4" tint="-0.25"/>
      <name val="黑体"/>
      <charset val="134"/>
    </font>
    <font>
      <sz val="11"/>
      <color rgb="FFFF0000"/>
      <name val="宋体"/>
      <charset val="134"/>
    </font>
    <font>
      <sz val="10"/>
      <color theme="1"/>
      <name val="宋体"/>
      <charset val="134"/>
      <scheme val="minor"/>
    </font>
    <font>
      <b/>
      <sz val="14"/>
      <color rgb="FF000000"/>
      <name val="黑体"/>
      <charset val="134"/>
    </font>
    <font>
      <b/>
      <sz val="6"/>
      <color rgb="FF000000"/>
      <name val="黑体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ajor"/>
    </font>
    <font>
      <b/>
      <sz val="9"/>
      <name val="宋体"/>
      <charset val="134"/>
    </font>
    <font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13" borderId="12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13" applyNumberFormat="0" applyFill="0" applyAlignment="0" applyProtection="0">
      <alignment vertical="center"/>
    </xf>
    <xf numFmtId="0" fontId="55" fillId="0" borderId="13" applyNumberFormat="0" applyFill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14" borderId="15" applyNumberFormat="0" applyAlignment="0" applyProtection="0">
      <alignment vertical="center"/>
    </xf>
    <xf numFmtId="0" fontId="58" fillId="15" borderId="16" applyNumberFormat="0" applyAlignment="0" applyProtection="0">
      <alignment vertical="center"/>
    </xf>
    <xf numFmtId="0" fontId="59" fillId="15" borderId="15" applyNumberFormat="0" applyAlignment="0" applyProtection="0">
      <alignment vertical="center"/>
    </xf>
    <xf numFmtId="0" fontId="60" fillId="16" borderId="17" applyNumberFormat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2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6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30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4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0" fontId="66" fillId="36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8" borderId="0" applyNumberFormat="0" applyBorder="0" applyAlignment="0" applyProtection="0">
      <alignment vertical="center"/>
    </xf>
    <xf numFmtId="0" fontId="66" fillId="39" borderId="0" applyNumberFormat="0" applyBorder="0" applyAlignment="0" applyProtection="0">
      <alignment vertical="center"/>
    </xf>
    <xf numFmtId="0" fontId="66" fillId="40" borderId="0" applyNumberFormat="0" applyBorder="0" applyAlignment="0" applyProtection="0">
      <alignment vertical="center"/>
    </xf>
    <xf numFmtId="0" fontId="67" fillId="41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1" fillId="0" borderId="0"/>
  </cellStyleXfs>
  <cellXfs count="188">
    <xf numFmtId="0" fontId="0" fillId="0" borderId="0" xfId="0">
      <alignment vertical="center"/>
    </xf>
    <xf numFmtId="0" fontId="1" fillId="0" borderId="0" xfId="0" applyFont="1" applyFill="1" applyBorder="1" applyAlignment="1" applyProtection="1">
      <alignment vertical="center"/>
      <protection locked="0"/>
    </xf>
    <xf numFmtId="0" fontId="2" fillId="0" borderId="0" xfId="0" applyFont="1" applyFill="1" applyBorder="1" applyAlignment="1" applyProtection="1">
      <alignment vertical="center" wrapText="1"/>
    </xf>
    <xf numFmtId="0" fontId="1" fillId="0" borderId="0" xfId="0" applyFont="1" applyFill="1" applyBorder="1" applyAlignment="1" applyProtection="1">
      <alignment vertical="center"/>
    </xf>
    <xf numFmtId="0" fontId="1" fillId="0" borderId="1" xfId="0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Border="1" applyAlignment="1" applyProtection="1">
      <alignment vertical="center" wrapText="1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6" fillId="0" borderId="2" xfId="0" applyFont="1" applyFill="1" applyBorder="1" applyAlignment="1" applyProtection="1">
      <alignment horizontal="center" vertical="center"/>
      <protection locked="0"/>
    </xf>
    <xf numFmtId="0" fontId="4" fillId="0" borderId="3" xfId="0" applyFont="1" applyFill="1" applyBorder="1" applyAlignment="1" applyProtection="1">
      <alignment horizontal="center" vertical="center"/>
      <protection locked="0"/>
    </xf>
    <xf numFmtId="0" fontId="6" fillId="0" borderId="3" xfId="0" applyFont="1" applyFill="1" applyBorder="1" applyAlignment="1" applyProtection="1">
      <alignment horizontal="center" vertical="center"/>
      <protection locked="0"/>
    </xf>
    <xf numFmtId="0" fontId="6" fillId="0" borderId="4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4" fillId="0" borderId="5" xfId="0" applyFont="1" applyFill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 applyProtection="1">
      <alignment horizontal="center" vertical="center"/>
      <protection locked="0"/>
    </xf>
    <xf numFmtId="0" fontId="7" fillId="3" borderId="5" xfId="0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4" fillId="0" borderId="6" xfId="0" applyFont="1" applyFill="1" applyBorder="1" applyAlignment="1" applyProtection="1">
      <alignment horizontal="center" vertical="center"/>
      <protection locked="0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9" fillId="0" borderId="4" xfId="0" applyFont="1" applyFill="1" applyBorder="1" applyAlignment="1" applyProtection="1">
      <alignment horizontal="center" vertical="center"/>
      <protection locked="0"/>
    </xf>
    <xf numFmtId="0" fontId="3" fillId="0" borderId="7" xfId="0" applyFont="1" applyFill="1" applyBorder="1" applyAlignment="1" applyProtection="1">
      <alignment horizontal="center" vertical="center"/>
      <protection locked="0"/>
    </xf>
    <xf numFmtId="0" fontId="4" fillId="0" borderId="7" xfId="0" applyFont="1" applyFill="1" applyBorder="1" applyAlignment="1" applyProtection="1">
      <alignment horizontal="center" vertical="center"/>
      <protection locked="0"/>
    </xf>
    <xf numFmtId="0" fontId="7" fillId="3" borderId="7" xfId="0" applyFont="1" applyFill="1" applyBorder="1" applyAlignment="1" applyProtection="1">
      <alignment horizontal="center" vertical="center"/>
    </xf>
    <xf numFmtId="0" fontId="3" fillId="2" borderId="7" xfId="0" applyFont="1" applyFill="1" applyBorder="1" applyAlignment="1" applyProtection="1">
      <alignment horizontal="center" vertical="center"/>
      <protection locked="0"/>
    </xf>
    <xf numFmtId="0" fontId="10" fillId="0" borderId="0" xfId="0" applyFont="1" applyFill="1" applyBorder="1" applyAlignment="1" applyProtection="1">
      <alignment vertical="center"/>
      <protection locked="0"/>
    </xf>
    <xf numFmtId="0" fontId="4" fillId="0" borderId="0" xfId="0" applyFont="1" applyFill="1" applyBorder="1" applyAlignment="1" applyProtection="1">
      <alignment horizontal="left" vertical="center"/>
      <protection locked="0"/>
    </xf>
    <xf numFmtId="0" fontId="5" fillId="0" borderId="0" xfId="0" applyFont="1" applyFill="1" applyBorder="1" applyAlignment="1" applyProtection="1">
      <alignment horizontal="left" vertical="center"/>
    </xf>
    <xf numFmtId="0" fontId="3" fillId="0" borderId="0" xfId="0" applyFont="1" applyFill="1" applyBorder="1" applyAlignment="1" applyProtection="1">
      <alignment horizontal="left" vertical="center"/>
      <protection locked="0"/>
    </xf>
    <xf numFmtId="0" fontId="4" fillId="0" borderId="0" xfId="0" applyFont="1" applyFill="1" applyAlignment="1" applyProtection="1">
      <alignment horizontal="left" vertical="center"/>
      <protection locked="0"/>
    </xf>
    <xf numFmtId="0" fontId="5" fillId="0" borderId="0" xfId="0" applyFont="1" applyFill="1" applyAlignment="1" applyProtection="1">
      <alignment horizontal="left" vertical="center"/>
    </xf>
    <xf numFmtId="0" fontId="3" fillId="0" borderId="0" xfId="0" applyFont="1" applyFill="1" applyAlignment="1" applyProtection="1">
      <alignment horizontal="left" vertical="center"/>
      <protection locked="0"/>
    </xf>
    <xf numFmtId="0" fontId="5" fillId="0" borderId="0" xfId="0" applyFont="1" applyFill="1" applyAlignment="1" applyProtection="1">
      <alignment horizontal="left" vertical="center"/>
      <protection locked="0"/>
    </xf>
    <xf numFmtId="0" fontId="11" fillId="0" borderId="1" xfId="0" applyFont="1" applyFill="1" applyBorder="1" applyAlignment="1" applyProtection="1">
      <alignment horizontal="center" vertical="center"/>
      <protection locked="0"/>
    </xf>
    <xf numFmtId="0" fontId="12" fillId="0" borderId="1" xfId="0" applyFont="1" applyFill="1" applyBorder="1" applyAlignment="1" applyProtection="1">
      <alignment horizontal="center" vertical="center"/>
      <protection locked="0"/>
    </xf>
    <xf numFmtId="176" fontId="13" fillId="2" borderId="1" xfId="0" applyNumberFormat="1" applyFont="1" applyFill="1" applyBorder="1" applyAlignment="1" applyProtection="1">
      <alignment horizontal="center" vertical="center"/>
    </xf>
    <xf numFmtId="177" fontId="13" fillId="2" borderId="1" xfId="0" applyNumberFormat="1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4" fillId="0" borderId="1" xfId="0" applyFont="1" applyFill="1" applyBorder="1" applyAlignment="1" applyProtection="1">
      <alignment horizontal="center" vertical="center"/>
      <protection locked="0"/>
    </xf>
    <xf numFmtId="0" fontId="14" fillId="0" borderId="5" xfId="0" applyFont="1" applyFill="1" applyBorder="1" applyAlignment="1" applyProtection="1">
      <alignment horizontal="center" vertical="center"/>
      <protection locked="0"/>
    </xf>
    <xf numFmtId="0" fontId="1" fillId="0" borderId="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left" vertical="center"/>
      <protection locked="0"/>
    </xf>
    <xf numFmtId="0" fontId="15" fillId="0" borderId="7" xfId="0" applyFont="1" applyFill="1" applyBorder="1" applyAlignment="1" applyProtection="1">
      <alignment horizontal="left" vertical="center" wrapText="1"/>
    </xf>
    <xf numFmtId="0" fontId="16" fillId="0" borderId="7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left" vertical="center"/>
      <protection locked="0"/>
    </xf>
    <xf numFmtId="58" fontId="8" fillId="0" borderId="5" xfId="0" applyNumberFormat="1" applyFont="1" applyFill="1" applyBorder="1" applyAlignment="1" applyProtection="1">
      <alignment horizontal="left" vertical="center"/>
      <protection locked="0"/>
    </xf>
    <xf numFmtId="58" fontId="2" fillId="0" borderId="5" xfId="0" applyNumberFormat="1" applyFont="1" applyFill="1" applyBorder="1" applyAlignment="1" applyProtection="1">
      <alignment horizontal="left" vertical="center"/>
      <protection locked="0"/>
    </xf>
    <xf numFmtId="58" fontId="2" fillId="0" borderId="1" xfId="0" applyNumberFormat="1" applyFont="1" applyFill="1" applyBorder="1" applyAlignment="1" applyProtection="1">
      <alignment horizontal="left" vertical="center"/>
      <protection locked="0"/>
    </xf>
    <xf numFmtId="58" fontId="2" fillId="0" borderId="8" xfId="0" applyNumberFormat="1" applyFont="1" applyFill="1" applyBorder="1" applyAlignment="1" applyProtection="1">
      <alignment horizontal="left" vertical="center"/>
      <protection locked="0"/>
    </xf>
    <xf numFmtId="0" fontId="8" fillId="0" borderId="7" xfId="0" applyFont="1" applyFill="1" applyBorder="1" applyAlignment="1" applyProtection="1">
      <alignment horizontal="left" vertical="center"/>
      <protection locked="0"/>
    </xf>
    <xf numFmtId="0" fontId="17" fillId="0" borderId="1" xfId="0" applyFont="1" applyFill="1" applyBorder="1" applyAlignment="1" applyProtection="1">
      <alignment horizontal="left" vertical="center"/>
      <protection locked="0"/>
    </xf>
    <xf numFmtId="0" fontId="18" fillId="0" borderId="1" xfId="0" applyFont="1" applyFill="1" applyBorder="1" applyAlignment="1" applyProtection="1">
      <alignment horizontal="left" vertical="center"/>
      <protection locked="0"/>
    </xf>
    <xf numFmtId="0" fontId="16" fillId="0" borderId="1" xfId="0" applyFont="1" applyFill="1" applyBorder="1" applyAlignment="1" applyProtection="1">
      <alignment horizontal="center" vertical="center" wrapText="1"/>
    </xf>
    <xf numFmtId="0" fontId="17" fillId="0" borderId="1" xfId="0" applyFont="1" applyFill="1" applyBorder="1" applyAlignment="1" applyProtection="1">
      <alignment horizontal="center" vertical="center"/>
      <protection locked="0"/>
    </xf>
    <xf numFmtId="0" fontId="17" fillId="2" borderId="6" xfId="0" applyFont="1" applyFill="1" applyBorder="1" applyAlignment="1" applyProtection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</xf>
    <xf numFmtId="58" fontId="1" fillId="0" borderId="5" xfId="0" applyNumberFormat="1" applyFont="1" applyFill="1" applyBorder="1" applyAlignment="1" applyProtection="1">
      <alignment horizontal="center" vertical="center"/>
      <protection locked="0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7" xfId="0" applyNumberFormat="1" applyFont="1" applyFill="1" applyBorder="1" applyAlignment="1" applyProtection="1">
      <alignment horizontal="center" vertical="center" wrapText="1"/>
    </xf>
    <xf numFmtId="0" fontId="1" fillId="2" borderId="7" xfId="0" applyFont="1" applyFill="1" applyBorder="1" applyAlignment="1" applyProtection="1">
      <alignment horizontal="center" vertical="center" wrapText="1"/>
    </xf>
    <xf numFmtId="0" fontId="20" fillId="0" borderId="1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3" fillId="4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23" fillId="4" borderId="5" xfId="49" applyNumberFormat="1" applyFont="1" applyFill="1" applyBorder="1" applyAlignment="1" applyProtection="1">
      <alignment horizontal="center" vertical="center" wrapText="1" shrinkToFit="1"/>
      <protection hidden="1"/>
    </xf>
    <xf numFmtId="0" fontId="23" fillId="4" borderId="5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/>
    </xf>
    <xf numFmtId="178" fontId="23" fillId="5" borderId="2" xfId="49" applyNumberFormat="1" applyFont="1" applyFill="1" applyBorder="1" applyAlignment="1" applyProtection="1">
      <alignment horizontal="center" vertical="center" wrapText="1" shrinkToFit="1"/>
      <protection hidden="1"/>
    </xf>
    <xf numFmtId="178" fontId="23" fillId="5" borderId="3" xfId="49" applyNumberFormat="1" applyFont="1" applyFill="1" applyBorder="1" applyAlignment="1" applyProtection="1">
      <alignment horizontal="center" vertical="center" wrapText="1" shrinkToFit="1"/>
      <protection hidden="1"/>
    </xf>
    <xf numFmtId="0" fontId="23" fillId="4" borderId="7" xfId="49" applyNumberFormat="1" applyFont="1" applyFill="1" applyBorder="1" applyAlignment="1" applyProtection="1">
      <alignment horizontal="center" vertical="center" wrapText="1" shrinkToFit="1"/>
      <protection hidden="1"/>
    </xf>
    <xf numFmtId="0" fontId="23" fillId="4" borderId="7" xfId="0" applyFont="1" applyFill="1" applyBorder="1" applyAlignment="1">
      <alignment horizontal="center" vertical="center" wrapText="1"/>
    </xf>
    <xf numFmtId="0" fontId="23" fillId="4" borderId="7" xfId="0" applyFont="1" applyFill="1" applyBorder="1" applyAlignment="1">
      <alignment horizontal="center" vertical="center"/>
    </xf>
    <xf numFmtId="178" fontId="23" fillId="5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23" fillId="5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7" fillId="0" borderId="1" xfId="0" applyFont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/>
    </xf>
    <xf numFmtId="43" fontId="25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178" fontId="7" fillId="6" borderId="1" xfId="0" applyNumberFormat="1" applyFont="1" applyFill="1" applyBorder="1" applyAlignment="1">
      <alignment horizontal="center" vertical="center"/>
    </xf>
    <xf numFmtId="0" fontId="23" fillId="4" borderId="3" xfId="49" applyNumberFormat="1" applyFont="1" applyFill="1" applyBorder="1" applyAlignment="1" applyProtection="1">
      <alignment horizontal="center" vertical="center" wrapText="1" shrinkToFit="1"/>
      <protection hidden="1"/>
    </xf>
    <xf numFmtId="178" fontId="23" fillId="4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23" fillId="4" borderId="4" xfId="49" applyNumberFormat="1" applyFont="1" applyFill="1" applyBorder="1" applyAlignment="1" applyProtection="1">
      <alignment horizontal="center" vertical="center" wrapText="1" shrinkToFit="1"/>
      <protection hidden="1"/>
    </xf>
    <xf numFmtId="0" fontId="26" fillId="0" borderId="1" xfId="0" applyFont="1" applyBorder="1" applyAlignment="1">
      <alignment horizontal="center" vertical="center"/>
    </xf>
    <xf numFmtId="10" fontId="25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 applyProtection="1">
      <alignment vertical="center"/>
    </xf>
    <xf numFmtId="0" fontId="0" fillId="0" borderId="0" xfId="0" applyFont="1" applyFill="1" applyAlignment="1" applyProtection="1">
      <alignment horizontal="center" vertical="center"/>
    </xf>
    <xf numFmtId="43" fontId="0" fillId="0" borderId="0" xfId="0" applyNumberFormat="1" applyFont="1" applyFill="1" applyAlignment="1" applyProtection="1">
      <alignment horizontal="center" vertical="center"/>
    </xf>
    <xf numFmtId="0" fontId="27" fillId="0" borderId="0" xfId="0" applyFont="1" applyFill="1" applyAlignment="1" applyProtection="1">
      <alignment horizontal="center" vertical="center"/>
    </xf>
    <xf numFmtId="43" fontId="5" fillId="0" borderId="0" xfId="0" applyNumberFormat="1" applyFont="1" applyFill="1" applyAlignment="1" applyProtection="1">
      <alignment horizontal="center" vertical="center"/>
    </xf>
    <xf numFmtId="43" fontId="28" fillId="0" borderId="0" xfId="0" applyNumberFormat="1" applyFont="1" applyFill="1" applyAlignment="1" applyProtection="1">
      <alignment horizontal="center" vertical="center"/>
    </xf>
    <xf numFmtId="43" fontId="0" fillId="0" borderId="0" xfId="0" applyNumberFormat="1" applyFont="1" applyFill="1" applyAlignment="1" applyProtection="1">
      <alignment vertical="center"/>
    </xf>
    <xf numFmtId="9" fontId="0" fillId="0" borderId="0" xfId="0" applyNumberFormat="1" applyFont="1" applyFill="1" applyAlignment="1" applyProtection="1">
      <alignment vertical="center"/>
    </xf>
    <xf numFmtId="0" fontId="29" fillId="0" borderId="0" xfId="0" applyFont="1" applyFill="1" applyAlignment="1" applyProtection="1">
      <alignment horizontal="center" vertical="center"/>
    </xf>
    <xf numFmtId="0" fontId="29" fillId="0" borderId="0" xfId="0" applyFont="1" applyFill="1" applyAlignment="1" applyProtection="1">
      <alignment vertical="center"/>
    </xf>
    <xf numFmtId="0" fontId="30" fillId="0" borderId="0" xfId="0" applyFont="1" applyFill="1" applyAlignment="1" applyProtection="1">
      <alignment vertical="center"/>
    </xf>
    <xf numFmtId="180" fontId="29" fillId="0" borderId="0" xfId="0" applyNumberFormat="1" applyFont="1" applyFill="1" applyAlignment="1" applyProtection="1">
      <alignment vertical="center"/>
    </xf>
    <xf numFmtId="0" fontId="0" fillId="0" borderId="0" xfId="0" applyFont="1" applyFill="1" applyAlignment="1" applyProtection="1">
      <alignment vertical="center" wrapText="1"/>
    </xf>
    <xf numFmtId="0" fontId="31" fillId="0" borderId="9" xfId="0" applyFont="1" applyFill="1" applyBorder="1" applyAlignment="1" applyProtection="1">
      <alignment horizontal="center" vertical="center"/>
    </xf>
    <xf numFmtId="0" fontId="31" fillId="0" borderId="10" xfId="0" applyFont="1" applyFill="1" applyBorder="1" applyAlignment="1" applyProtection="1">
      <alignment horizontal="center" vertical="center"/>
    </xf>
    <xf numFmtId="43" fontId="31" fillId="0" borderId="10" xfId="0" applyNumberFormat="1" applyFont="1" applyFill="1" applyBorder="1" applyAlignment="1" applyProtection="1">
      <alignment horizontal="center" vertical="center"/>
    </xf>
    <xf numFmtId="0" fontId="19" fillId="7" borderId="1" xfId="49" applyFont="1" applyFill="1" applyBorder="1" applyAlignment="1" applyProtection="1">
      <alignment horizontal="center" vertical="center" wrapText="1" shrinkToFit="1"/>
      <protection hidden="1"/>
    </xf>
    <xf numFmtId="0" fontId="19" fillId="7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19" fillId="7" borderId="5" xfId="49" applyNumberFormat="1" applyFont="1" applyFill="1" applyBorder="1" applyAlignment="1" applyProtection="1">
      <alignment horizontal="center" vertical="center" wrapText="1" shrinkToFit="1"/>
      <protection hidden="1"/>
    </xf>
    <xf numFmtId="43" fontId="19" fillId="7" borderId="5" xfId="49" applyNumberFormat="1" applyFont="1" applyFill="1" applyBorder="1" applyAlignment="1" applyProtection="1">
      <alignment horizontal="center" vertical="center" wrapText="1" shrinkToFit="1"/>
      <protection hidden="1"/>
    </xf>
    <xf numFmtId="0" fontId="15" fillId="7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32" fillId="7" borderId="1" xfId="0" applyFont="1" applyFill="1" applyBorder="1" applyAlignment="1" applyProtection="1">
      <alignment horizontal="center" vertical="center" wrapText="1"/>
    </xf>
    <xf numFmtId="0" fontId="33" fillId="7" borderId="1" xfId="0" applyFont="1" applyFill="1" applyBorder="1" applyAlignment="1" applyProtection="1">
      <alignment horizontal="center" vertical="center" wrapText="1"/>
    </xf>
    <xf numFmtId="0" fontId="19" fillId="7" borderId="7" xfId="49" applyNumberFormat="1" applyFont="1" applyFill="1" applyBorder="1" applyAlignment="1" applyProtection="1">
      <alignment horizontal="center" vertical="center" wrapText="1" shrinkToFit="1"/>
      <protection hidden="1"/>
    </xf>
    <xf numFmtId="43" fontId="19" fillId="7" borderId="7" xfId="49" applyNumberFormat="1" applyFont="1" applyFill="1" applyBorder="1" applyAlignment="1" applyProtection="1">
      <alignment horizontal="center" vertical="center" wrapText="1" shrinkToFit="1"/>
      <protection hidden="1"/>
    </xf>
    <xf numFmtId="0" fontId="2" fillId="8" borderId="1" xfId="0" applyFont="1" applyFill="1" applyBorder="1" applyAlignment="1" applyProtection="1">
      <alignment horizontal="center" vertical="center"/>
    </xf>
    <xf numFmtId="0" fontId="4" fillId="8" borderId="1" xfId="0" applyNumberFormat="1" applyFont="1" applyFill="1" applyBorder="1" applyAlignment="1" applyProtection="1">
      <alignment horizontal="center" vertical="center"/>
    </xf>
    <xf numFmtId="179" fontId="34" fillId="9" borderId="1" xfId="0" applyNumberFormat="1" applyFont="1" applyFill="1" applyBorder="1" applyAlignment="1" applyProtection="1">
      <alignment horizontal="center" vertical="center" wrapText="1"/>
    </xf>
    <xf numFmtId="43" fontId="2" fillId="0" borderId="1" xfId="0" applyNumberFormat="1" applyFont="1" applyFill="1" applyBorder="1" applyAlignment="1" applyProtection="1">
      <alignment horizontal="center" vertical="center"/>
    </xf>
    <xf numFmtId="0" fontId="35" fillId="8" borderId="1" xfId="0" applyFont="1" applyFill="1" applyBorder="1" applyAlignment="1" applyProtection="1">
      <alignment horizontal="center" vertical="center" wrapText="1"/>
    </xf>
    <xf numFmtId="0" fontId="2" fillId="8" borderId="1" xfId="0" applyFont="1" applyFill="1" applyBorder="1" applyAlignment="1" applyProtection="1">
      <alignment horizontal="center" vertical="center" wrapText="1"/>
    </xf>
    <xf numFmtId="179" fontId="34" fillId="0" borderId="1" xfId="0" applyNumberFormat="1" applyFont="1" applyFill="1" applyBorder="1" applyAlignment="1" applyProtection="1">
      <alignment horizontal="center" vertical="center" wrapText="1"/>
    </xf>
    <xf numFmtId="0" fontId="4" fillId="8" borderId="1" xfId="0" applyFont="1" applyFill="1" applyBorder="1" applyAlignment="1" applyProtection="1">
      <alignment horizontal="center" vertical="center"/>
    </xf>
    <xf numFmtId="0" fontId="36" fillId="8" borderId="1" xfId="0" applyFont="1" applyFill="1" applyBorder="1" applyAlignment="1" applyProtection="1">
      <alignment horizontal="center" vertical="center"/>
    </xf>
    <xf numFmtId="0" fontId="34" fillId="0" borderId="1" xfId="0" applyNumberFormat="1" applyFont="1" applyFill="1" applyBorder="1" applyAlignment="1" applyProtection="1">
      <alignment horizontal="center" vertical="center" wrapText="1"/>
    </xf>
    <xf numFmtId="0" fontId="37" fillId="10" borderId="1" xfId="0" applyNumberFormat="1" applyFont="1" applyFill="1" applyBorder="1" applyAlignment="1" applyProtection="1">
      <alignment horizontal="center" vertical="center"/>
    </xf>
    <xf numFmtId="43" fontId="5" fillId="10" borderId="1" xfId="0" applyNumberFormat="1" applyFont="1" applyFill="1" applyBorder="1" applyAlignment="1" applyProtection="1">
      <alignment horizontal="center" vertical="center"/>
    </xf>
    <xf numFmtId="43" fontId="38" fillId="0" borderId="10" xfId="0" applyNumberFormat="1" applyFont="1" applyFill="1" applyBorder="1" applyAlignment="1" applyProtection="1">
      <alignment horizontal="center" vertical="center"/>
    </xf>
    <xf numFmtId="43" fontId="39" fillId="0" borderId="10" xfId="0" applyNumberFormat="1" applyFont="1" applyFill="1" applyBorder="1" applyAlignment="1" applyProtection="1">
      <alignment horizontal="center" vertical="center"/>
    </xf>
    <xf numFmtId="9" fontId="31" fillId="0" borderId="10" xfId="0" applyNumberFormat="1" applyFont="1" applyFill="1" applyBorder="1" applyAlignment="1" applyProtection="1">
      <alignment horizontal="center" vertical="center"/>
    </xf>
    <xf numFmtId="0" fontId="19" fillId="7" borderId="1" xfId="0" applyFont="1" applyFill="1" applyBorder="1" applyAlignment="1" applyProtection="1">
      <alignment horizontal="center" vertical="center" wrapText="1" shrinkToFit="1"/>
      <protection hidden="1"/>
    </xf>
    <xf numFmtId="43" fontId="40" fillId="7" borderId="1" xfId="49" applyNumberFormat="1" applyFont="1" applyFill="1" applyBorder="1" applyAlignment="1" applyProtection="1">
      <alignment horizontal="center" vertical="center" wrapText="1" shrinkToFit="1"/>
      <protection hidden="1"/>
    </xf>
    <xf numFmtId="43" fontId="40" fillId="7" borderId="5" xfId="49" applyNumberFormat="1" applyFont="1" applyFill="1" applyBorder="1" applyAlignment="1" applyProtection="1">
      <alignment horizontal="center" vertical="center" wrapText="1" shrinkToFit="1"/>
      <protection hidden="1"/>
    </xf>
    <xf numFmtId="43" fontId="41" fillId="7" borderId="1" xfId="49" applyNumberFormat="1" applyFont="1" applyFill="1" applyBorder="1" applyAlignment="1" applyProtection="1">
      <alignment horizontal="center" vertical="center" wrapText="1" shrinkToFit="1"/>
      <protection hidden="1"/>
    </xf>
    <xf numFmtId="43" fontId="19" fillId="7" borderId="1" xfId="49" applyNumberFormat="1" applyFont="1" applyFill="1" applyBorder="1" applyAlignment="1" applyProtection="1">
      <alignment horizontal="center" vertical="center" wrapText="1" shrinkToFit="1"/>
      <protection hidden="1"/>
    </xf>
    <xf numFmtId="9" fontId="19" fillId="7" borderId="1" xfId="49" applyNumberFormat="1" applyFont="1" applyFill="1" applyBorder="1" applyAlignment="1" applyProtection="1">
      <alignment horizontal="center" vertical="center" wrapText="1" shrinkToFit="1"/>
      <protection hidden="1"/>
    </xf>
    <xf numFmtId="178" fontId="42" fillId="7" borderId="1" xfId="49" applyNumberFormat="1" applyFont="1" applyFill="1" applyBorder="1" applyAlignment="1" applyProtection="1">
      <alignment horizontal="center" vertical="center" wrapText="1" shrinkToFit="1"/>
      <protection hidden="1"/>
    </xf>
    <xf numFmtId="43" fontId="40" fillId="7" borderId="7" xfId="49" applyNumberFormat="1" applyFont="1" applyFill="1" applyBorder="1" applyAlignment="1" applyProtection="1">
      <alignment horizontal="center" vertical="center" wrapText="1" shrinkToFit="1"/>
      <protection hidden="1"/>
    </xf>
    <xf numFmtId="43" fontId="5" fillId="8" borderId="1" xfId="0" applyNumberFormat="1" applyFont="1" applyFill="1" applyBorder="1" applyAlignment="1" applyProtection="1">
      <alignment horizontal="center" vertical="center"/>
    </xf>
    <xf numFmtId="43" fontId="5" fillId="9" borderId="1" xfId="0" applyNumberFormat="1" applyFont="1" applyFill="1" applyBorder="1" applyAlignment="1" applyProtection="1">
      <alignment horizontal="center" vertical="center"/>
    </xf>
    <xf numFmtId="43" fontId="28" fillId="0" borderId="1" xfId="0" applyNumberFormat="1" applyFont="1" applyFill="1" applyBorder="1" applyAlignment="1" applyProtection="1">
      <alignment horizontal="center" vertical="center"/>
    </xf>
    <xf numFmtId="9" fontId="2" fillId="0" borderId="1" xfId="0" applyNumberFormat="1" applyFont="1" applyFill="1" applyBorder="1" applyAlignment="1" applyProtection="1">
      <alignment horizontal="center" vertical="center"/>
    </xf>
    <xf numFmtId="178" fontId="29" fillId="0" borderId="1" xfId="0" applyNumberFormat="1" applyFont="1" applyFill="1" applyBorder="1" applyAlignment="1" applyProtection="1">
      <alignment horizontal="center" vertical="center"/>
    </xf>
    <xf numFmtId="0" fontId="31" fillId="0" borderId="10" xfId="0" applyFont="1" applyFill="1" applyBorder="1" applyAlignment="1" applyProtection="1">
      <alignment vertical="center"/>
    </xf>
    <xf numFmtId="0" fontId="43" fillId="0" borderId="10" xfId="0" applyFont="1" applyFill="1" applyBorder="1" applyAlignment="1" applyProtection="1">
      <alignment vertical="center"/>
    </xf>
    <xf numFmtId="178" fontId="19" fillId="7" borderId="1" xfId="49" applyNumberFormat="1" applyFont="1" applyFill="1" applyBorder="1" applyAlignment="1" applyProtection="1">
      <alignment horizontal="center" vertical="center" wrapText="1" shrinkToFit="1"/>
      <protection hidden="1"/>
    </xf>
    <xf numFmtId="180" fontId="42" fillId="7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42" fillId="7" borderId="1" xfId="49" applyNumberFormat="1" applyFont="1" applyFill="1" applyBorder="1" applyAlignment="1" applyProtection="1">
      <alignment horizontal="center" vertical="center" wrapText="1" shrinkToFit="1"/>
      <protection hidden="1"/>
    </xf>
    <xf numFmtId="178" fontId="40" fillId="7" borderId="1" xfId="49" applyNumberFormat="1" applyFont="1" applyFill="1" applyBorder="1" applyAlignment="1" applyProtection="1">
      <alignment horizontal="center" vertical="center" wrapText="1" shrinkToFit="1"/>
      <protection hidden="1"/>
    </xf>
    <xf numFmtId="178" fontId="5" fillId="11" borderId="1" xfId="0" applyNumberFormat="1" applyFont="1" applyFill="1" applyBorder="1" applyAlignment="1" applyProtection="1">
      <alignment horizontal="right" vertical="center"/>
    </xf>
    <xf numFmtId="9" fontId="2" fillId="0" borderId="1" xfId="0" applyNumberFormat="1" applyFont="1" applyFill="1" applyBorder="1" applyAlignment="1" applyProtection="1">
      <alignment horizontal="right" vertical="center"/>
    </xf>
    <xf numFmtId="178" fontId="29" fillId="0" borderId="1" xfId="0" applyNumberFormat="1" applyFont="1" applyFill="1" applyBorder="1" applyAlignment="1" applyProtection="1">
      <alignment horizontal="right" vertical="center"/>
    </xf>
    <xf numFmtId="9" fontId="44" fillId="0" borderId="1" xfId="0" applyNumberFormat="1" applyFont="1" applyFill="1" applyBorder="1" applyAlignment="1" applyProtection="1">
      <alignment horizontal="center" vertical="center"/>
    </xf>
    <xf numFmtId="178" fontId="45" fillId="0" borderId="0" xfId="0" applyNumberFormat="1" applyFont="1" applyFill="1" applyAlignment="1" applyProtection="1">
      <alignment vertical="center"/>
    </xf>
    <xf numFmtId="178" fontId="27" fillId="0" borderId="0" xfId="0" applyNumberFormat="1" applyFont="1" applyFill="1" applyAlignment="1" applyProtection="1">
      <alignment vertical="center"/>
    </xf>
    <xf numFmtId="0" fontId="46" fillId="0" borderId="10" xfId="0" applyFont="1" applyFill="1" applyBorder="1" applyAlignment="1" applyProtection="1">
      <alignment vertical="center"/>
    </xf>
    <xf numFmtId="10" fontId="47" fillId="0" borderId="10" xfId="0" applyNumberFormat="1" applyFont="1" applyFill="1" applyBorder="1" applyAlignment="1" applyProtection="1">
      <alignment horizontal="center" vertical="center"/>
    </xf>
    <xf numFmtId="0" fontId="19" fillId="7" borderId="2" xfId="49" applyNumberFormat="1" applyFont="1" applyFill="1" applyBorder="1" applyAlignment="1" applyProtection="1">
      <alignment horizontal="center" vertical="center" wrapText="1" shrinkToFit="1"/>
      <protection hidden="1"/>
    </xf>
    <xf numFmtId="0" fontId="19" fillId="7" borderId="3" xfId="49" applyNumberFormat="1" applyFont="1" applyFill="1" applyBorder="1" applyAlignment="1" applyProtection="1">
      <alignment horizontal="center" vertical="center" wrapText="1" shrinkToFit="1"/>
      <protection hidden="1"/>
    </xf>
    <xf numFmtId="0" fontId="19" fillId="7" borderId="4" xfId="49" applyNumberFormat="1" applyFont="1" applyFill="1" applyBorder="1" applyAlignment="1" applyProtection="1">
      <alignment horizontal="center" vertical="center" wrapText="1" shrinkToFit="1"/>
      <protection hidden="1"/>
    </xf>
    <xf numFmtId="178" fontId="13" fillId="7" borderId="2" xfId="49" applyNumberFormat="1" applyFont="1" applyFill="1" applyBorder="1" applyAlignment="1" applyProtection="1">
      <alignment horizontal="center" vertical="center" wrapText="1" shrinkToFit="1"/>
      <protection hidden="1"/>
    </xf>
    <xf numFmtId="178" fontId="13" fillId="7" borderId="3" xfId="49" applyNumberFormat="1" applyFont="1" applyFill="1" applyBorder="1" applyAlignment="1" applyProtection="1">
      <alignment horizontal="center" vertical="center" wrapText="1" shrinkToFit="1"/>
      <protection hidden="1"/>
    </xf>
    <xf numFmtId="180" fontId="15" fillId="7" borderId="1" xfId="0" applyNumberFormat="1" applyFont="1" applyFill="1" applyBorder="1" applyAlignment="1" applyProtection="1">
      <alignment horizontal="center" vertical="center" wrapText="1" shrinkToFit="1"/>
      <protection hidden="1"/>
    </xf>
    <xf numFmtId="178" fontId="13" fillId="7" borderId="4" xfId="49" applyNumberFormat="1" applyFont="1" applyFill="1" applyBorder="1" applyAlignment="1" applyProtection="1">
      <alignment horizontal="center" vertical="center" wrapText="1" shrinkToFit="1"/>
      <protection hidden="1"/>
    </xf>
    <xf numFmtId="178" fontId="13" fillId="7" borderId="1" xfId="49" applyNumberFormat="1" applyFont="1" applyFill="1" applyBorder="1" applyAlignment="1" applyProtection="1">
      <alignment horizontal="center" vertical="center" wrapText="1" shrinkToFit="1"/>
      <protection hidden="1"/>
    </xf>
    <xf numFmtId="43" fontId="5" fillId="12" borderId="1" xfId="0" applyNumberFormat="1" applyFont="1" applyFill="1" applyBorder="1" applyAlignment="1" applyProtection="1">
      <alignment vertical="center"/>
    </xf>
    <xf numFmtId="58" fontId="0" fillId="0" borderId="0" xfId="0" applyNumberFormat="1" applyFont="1" applyFill="1" applyAlignment="1" applyProtection="1">
      <alignment vertical="center"/>
    </xf>
    <xf numFmtId="178" fontId="40" fillId="7" borderId="4" xfId="49" applyNumberFormat="1" applyFont="1" applyFill="1" applyBorder="1" applyAlignment="1" applyProtection="1">
      <alignment horizontal="center" vertical="center" wrapText="1" shrinkToFit="1"/>
      <protection hidden="1"/>
    </xf>
    <xf numFmtId="180" fontId="19" fillId="7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31" fillId="0" borderId="11" xfId="0" applyFont="1" applyFill="1" applyBorder="1" applyAlignment="1" applyProtection="1">
      <alignment vertical="center"/>
    </xf>
    <xf numFmtId="0" fontId="15" fillId="7" borderId="1" xfId="0" applyFont="1" applyFill="1" applyBorder="1" applyAlignment="1" applyProtection="1">
      <alignment horizontal="center" vertical="center" wrapText="1" shrinkToFit="1"/>
      <protection hidden="1"/>
    </xf>
    <xf numFmtId="0" fontId="35" fillId="0" borderId="1" xfId="0" applyFont="1" applyFill="1" applyBorder="1" applyAlignment="1" applyProtection="1">
      <alignment vertical="center" wrapText="1"/>
    </xf>
    <xf numFmtId="0" fontId="35" fillId="0" borderId="1" xfId="0" applyFont="1" applyFill="1" applyBorder="1" applyAlignment="1" applyProtection="1">
      <alignment horizontal="left" vertical="center" wrapText="1"/>
    </xf>
    <xf numFmtId="0" fontId="48" fillId="10" borderId="1" xfId="0" applyFont="1" applyFill="1" applyBorder="1" applyAlignment="1" applyProtection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dxfs count="1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8DD4E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5" tint="0.6"/>
        </patternFill>
      </fill>
    </dxf>
    <dxf>
      <font>
        <color rgb="FFFF0000"/>
      </font>
      <fill>
        <patternFill patternType="solid">
          <bgColor theme="9" tint="0.6"/>
        </patternFill>
      </fill>
    </dxf>
    <dxf>
      <font>
        <color rgb="FFFF0000"/>
      </font>
      <fill>
        <patternFill patternType="solid">
          <bgColor theme="7" tint="0.6"/>
        </patternFill>
      </fill>
    </dxf>
    <dxf>
      <font>
        <b val="1"/>
        <i val="0"/>
        <color rgb="FFFF0000"/>
      </font>
      <fill>
        <patternFill patternType="solid">
          <bgColor theme="5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rgb="FFEE722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rgb="FFF7EA68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0.6"/>
        </patternFill>
      </fill>
    </dxf>
    <dxf>
      <font>
        <b val="1"/>
        <i val="0"/>
        <color rgb="FFFFC000"/>
      </font>
      <fill>
        <patternFill patternType="solid">
          <bgColor rgb="FF0070C0"/>
        </patternFill>
      </fill>
    </dxf>
    <dxf>
      <font>
        <b val="1"/>
        <i val="0"/>
        <color rgb="FFFF0000"/>
      </font>
      <fill>
        <patternFill patternType="solid">
          <bgColor theme="5" tint="0.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Spin" dx="16" fmlaLink="$B$2" max="2025" min="2022" page="10" val="2023"/>
</file>

<file path=xl/ctrlProps/ctrlProp2.xml><?xml version="1.0" encoding="utf-8"?>
<formControlPr xmlns="http://schemas.microsoft.com/office/spreadsheetml/2009/9/main" objectType="Spin" dx="16" fmlaLink="$D$2" max="12" min="1" page="10" val="12"/>
</file>

<file path=xl/ctrlProps/ctrlProp3.xml><?xml version="1.0" encoding="utf-8"?>
<formControlPr xmlns="http://schemas.microsoft.com/office/spreadsheetml/2009/9/main" objectType="Spin" dx="16" fmlaLink="$B$2" max="2025" min="2022" page="10" val="2023"/>
</file>

<file path=xl/ctrlProps/ctrlProp4.xml><?xml version="1.0" encoding="utf-8"?>
<formControlPr xmlns="http://schemas.microsoft.com/office/spreadsheetml/2009/9/main" objectType="Spin" dx="16" fmlaLink="$D$2" max="12" min="1" page="10" val="12"/>
</file>

<file path=xl/ctrlProps/ctrlProp5.xml><?xml version="1.0" encoding="utf-8"?>
<formControlPr xmlns="http://schemas.microsoft.com/office/spreadsheetml/2009/9/main" objectType="Spin" dx="16" fmlaLink="$B$2" max="2025" min="2022" page="10" val="2023"/>
</file>

<file path=xl/ctrlProps/ctrlProp6.xml><?xml version="1.0" encoding="utf-8"?>
<formControlPr xmlns="http://schemas.microsoft.com/office/spreadsheetml/2009/9/main" objectType="Spin" dx="16" fmlaLink="$D$2" max="12" min="1" page="10" val="12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542925</xdr:colOff>
          <xdr:row>1</xdr:row>
          <xdr:rowOff>19050</xdr:rowOff>
        </xdr:from>
        <xdr:to>
          <xdr:col>2</xdr:col>
          <xdr:colOff>104775</xdr:colOff>
          <xdr:row>2</xdr:row>
          <xdr:rowOff>19050</xdr:rowOff>
        </xdr:to>
        <xdr:sp>
          <xdr:nvSpPr>
            <xdr:cNvPr id="2049" name="Spinner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895350" y="361950"/>
              <a:ext cx="219075" cy="34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333375</xdr:colOff>
          <xdr:row>1</xdr:row>
          <xdr:rowOff>28575</xdr:rowOff>
        </xdr:from>
        <xdr:to>
          <xdr:col>4</xdr:col>
          <xdr:colOff>95250</xdr:colOff>
          <xdr:row>2</xdr:row>
          <xdr:rowOff>19050</xdr:rowOff>
        </xdr:to>
        <xdr:sp>
          <xdr:nvSpPr>
            <xdr:cNvPr id="2050" name="Spinner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1771650" y="371475"/>
              <a:ext cx="190500" cy="3333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542925</xdr:colOff>
          <xdr:row>1</xdr:row>
          <xdr:rowOff>19050</xdr:rowOff>
        </xdr:from>
        <xdr:to>
          <xdr:col>2</xdr:col>
          <xdr:colOff>104775</xdr:colOff>
          <xdr:row>2</xdr:row>
          <xdr:rowOff>19050</xdr:rowOff>
        </xdr:to>
        <xdr:sp>
          <xdr:nvSpPr>
            <xdr:cNvPr id="2051" name="Spinner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895350" y="361950"/>
              <a:ext cx="219075" cy="34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333375</xdr:colOff>
          <xdr:row>1</xdr:row>
          <xdr:rowOff>28575</xdr:rowOff>
        </xdr:from>
        <xdr:to>
          <xdr:col>4</xdr:col>
          <xdr:colOff>95250</xdr:colOff>
          <xdr:row>2</xdr:row>
          <xdr:rowOff>19050</xdr:rowOff>
        </xdr:to>
        <xdr:sp>
          <xdr:nvSpPr>
            <xdr:cNvPr id="2052" name="Spinner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1771650" y="371475"/>
              <a:ext cx="190500" cy="3333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542925</xdr:colOff>
          <xdr:row>1</xdr:row>
          <xdr:rowOff>19050</xdr:rowOff>
        </xdr:from>
        <xdr:to>
          <xdr:col>2</xdr:col>
          <xdr:colOff>104775</xdr:colOff>
          <xdr:row>2</xdr:row>
          <xdr:rowOff>19050</xdr:rowOff>
        </xdr:to>
        <xdr:sp>
          <xdr:nvSpPr>
            <xdr:cNvPr id="2053" name="Spinner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895350" y="361950"/>
              <a:ext cx="219075" cy="34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333375</xdr:colOff>
          <xdr:row>1</xdr:row>
          <xdr:rowOff>28575</xdr:rowOff>
        </xdr:from>
        <xdr:to>
          <xdr:col>4</xdr:col>
          <xdr:colOff>95250</xdr:colOff>
          <xdr:row>2</xdr:row>
          <xdr:rowOff>19050</xdr:rowOff>
        </xdr:to>
        <xdr:sp>
          <xdr:nvSpPr>
            <xdr:cNvPr id="2054" name="Spinner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1771650" y="371475"/>
              <a:ext cx="190500" cy="3333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6.xml"/><Relationship Id="rId8" Type="http://schemas.openxmlformats.org/officeDocument/2006/relationships/ctrlProp" Target="../ctrlProps/ctrlProp5.xml"/><Relationship Id="rId7" Type="http://schemas.openxmlformats.org/officeDocument/2006/relationships/ctrlProp" Target="../ctrlProps/ctrlProp4.xml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Z19"/>
  <sheetViews>
    <sheetView tabSelected="1" workbookViewId="0">
      <pane xSplit="2" ySplit="3" topLeftCell="C4" activePane="bottomRight" state="frozen"/>
      <selection/>
      <selection pane="topRight"/>
      <selection pane="bottomLeft"/>
      <selection pane="bottomRight" activeCell="J21" sqref="J21"/>
    </sheetView>
  </sheetViews>
  <sheetFormatPr defaultColWidth="9" defaultRowHeight="13.5"/>
  <cols>
    <col min="1" max="1" width="4.125" style="105" customWidth="1"/>
    <col min="2" max="2" width="7" style="105" customWidth="1"/>
    <col min="3" max="3" width="11" style="105" customWidth="1"/>
    <col min="4" max="4" width="8.625" style="106" customWidth="1"/>
    <col min="5" max="5" width="11.125" style="105" customWidth="1"/>
    <col min="6" max="7" width="7.125" style="107" customWidth="1"/>
    <col min="8" max="8" width="8.125" style="104" customWidth="1"/>
    <col min="9" max="9" width="11.125" style="105" customWidth="1"/>
    <col min="10" max="11" width="12.625" style="108" customWidth="1"/>
    <col min="12" max="12" width="6.375" style="109" customWidth="1"/>
    <col min="13" max="13" width="10.375" style="110" customWidth="1"/>
    <col min="14" max="14" width="8.625" style="106" customWidth="1"/>
    <col min="15" max="15" width="6.375" style="111" customWidth="1"/>
    <col min="16" max="16" width="8.125" style="112" customWidth="1"/>
    <col min="17" max="17" width="9.375" style="105" customWidth="1"/>
    <col min="18" max="18" width="7.375" style="104" customWidth="1"/>
    <col min="19" max="19" width="8.125" style="113" customWidth="1"/>
    <col min="20" max="20" width="7.625" style="114" customWidth="1"/>
    <col min="21" max="21" width="7.625" style="104" customWidth="1"/>
    <col min="22" max="22" width="8.125" style="115" customWidth="1"/>
    <col min="23" max="23" width="8.125" style="112" customWidth="1"/>
    <col min="24" max="24" width="12.625" style="104" customWidth="1"/>
    <col min="25" max="27" width="6.375" style="105" customWidth="1"/>
    <col min="28" max="28" width="11.5" style="105" customWidth="1"/>
    <col min="29" max="30" width="7.125" style="105" customWidth="1"/>
    <col min="31" max="31" width="6.375" style="104" customWidth="1"/>
    <col min="32" max="32" width="6.375" style="105" customWidth="1"/>
    <col min="33" max="33" width="7.125" style="105" customWidth="1"/>
    <col min="34" max="34" width="6.375" style="105" customWidth="1"/>
    <col min="35" max="35" width="6.375" style="104" customWidth="1"/>
    <col min="36" max="36" width="8.375" style="105" customWidth="1"/>
    <col min="37" max="37" width="9.625" style="104" customWidth="1"/>
    <col min="38" max="38" width="6.375" style="105" customWidth="1"/>
    <col min="39" max="39" width="12.625" style="104" customWidth="1"/>
    <col min="40" max="40" width="8.375" style="105" customWidth="1"/>
    <col min="41" max="41" width="6.375" style="105" customWidth="1"/>
    <col min="42" max="42" width="9.375" style="105" customWidth="1"/>
    <col min="43" max="43" width="6.375" style="104" customWidth="1"/>
    <col min="44" max="44" width="6.375" style="105" customWidth="1"/>
    <col min="45" max="45" width="12.125" style="105" customWidth="1"/>
    <col min="46" max="47" width="6.375" style="105" customWidth="1"/>
    <col min="48" max="48" width="12.625" style="104" customWidth="1"/>
    <col min="49" max="49" width="3.875" style="116" customWidth="1"/>
    <col min="50" max="52" width="13.75" style="104" customWidth="1"/>
    <col min="53" max="53" width="12.625" style="104"/>
    <col min="54" max="16384" width="9" style="104"/>
  </cols>
  <sheetData>
    <row r="1" s="104" customFormat="1" ht="36" customHeight="1" spans="1:49">
      <c r="A1" s="117" t="s">
        <v>0</v>
      </c>
      <c r="B1" s="118"/>
      <c r="C1" s="118"/>
      <c r="D1" s="119"/>
      <c r="E1" s="118"/>
      <c r="F1" s="118"/>
      <c r="G1" s="118"/>
      <c r="H1" s="118"/>
      <c r="I1" s="118"/>
      <c r="J1" s="141"/>
      <c r="K1" s="141"/>
      <c r="L1" s="142"/>
      <c r="M1" s="119"/>
      <c r="N1" s="119"/>
      <c r="O1" s="143"/>
      <c r="P1" s="118"/>
      <c r="Q1" s="118"/>
      <c r="R1" s="157"/>
      <c r="S1" s="157"/>
      <c r="T1" s="157"/>
      <c r="U1" s="157"/>
      <c r="V1" s="158"/>
      <c r="W1" s="158"/>
      <c r="X1" s="157"/>
      <c r="Y1" s="118"/>
      <c r="Z1" s="118"/>
      <c r="AA1" s="157"/>
      <c r="AB1" s="157"/>
      <c r="AC1" s="169"/>
      <c r="AD1" s="170"/>
      <c r="AE1" s="157"/>
      <c r="AF1" s="118"/>
      <c r="AG1" s="118"/>
      <c r="AH1" s="118"/>
      <c r="AI1" s="157"/>
      <c r="AJ1" s="118"/>
      <c r="AK1" s="157"/>
      <c r="AL1" s="118"/>
      <c r="AM1" s="157"/>
      <c r="AN1" s="157"/>
      <c r="AO1" s="118"/>
      <c r="AP1" s="118"/>
      <c r="AQ1" s="157"/>
      <c r="AR1" s="157"/>
      <c r="AS1" s="118"/>
      <c r="AT1" s="118"/>
      <c r="AU1" s="118"/>
      <c r="AV1" s="157"/>
      <c r="AW1" s="183"/>
    </row>
    <row r="2" s="104" customFormat="1" ht="19" customHeight="1" spans="1:49">
      <c r="A2" s="120" t="s">
        <v>1</v>
      </c>
      <c r="B2" s="121" t="s">
        <v>2</v>
      </c>
      <c r="C2" s="122" t="s">
        <v>3</v>
      </c>
      <c r="D2" s="123" t="s">
        <v>4</v>
      </c>
      <c r="E2" s="121" t="s">
        <v>5</v>
      </c>
      <c r="F2" s="124" t="s">
        <v>6</v>
      </c>
      <c r="G2" s="125" t="s">
        <v>7</v>
      </c>
      <c r="H2" s="126" t="s">
        <v>8</v>
      </c>
      <c r="I2" s="144" t="s">
        <v>9</v>
      </c>
      <c r="J2" s="145" t="s">
        <v>10</v>
      </c>
      <c r="K2" s="146" t="s">
        <v>11</v>
      </c>
      <c r="L2" s="147" t="s">
        <v>12</v>
      </c>
      <c r="M2" s="148" t="s">
        <v>13</v>
      </c>
      <c r="N2" s="148" t="s">
        <v>14</v>
      </c>
      <c r="O2" s="149"/>
      <c r="P2" s="150"/>
      <c r="Q2" s="159"/>
      <c r="R2" s="121"/>
      <c r="S2" s="150"/>
      <c r="T2" s="121" t="s">
        <v>15</v>
      </c>
      <c r="U2" s="121"/>
      <c r="V2" s="160"/>
      <c r="W2" s="161" t="s">
        <v>16</v>
      </c>
      <c r="X2" s="162" t="s">
        <v>17</v>
      </c>
      <c r="Y2" s="171" t="s">
        <v>18</v>
      </c>
      <c r="Z2" s="172"/>
      <c r="AA2" s="172"/>
      <c r="AB2" s="172"/>
      <c r="AC2" s="172"/>
      <c r="AD2" s="173"/>
      <c r="AE2" s="174" t="s">
        <v>19</v>
      </c>
      <c r="AF2" s="175"/>
      <c r="AG2" s="175"/>
      <c r="AH2" s="177"/>
      <c r="AI2" s="178" t="s">
        <v>20</v>
      </c>
      <c r="AJ2" s="178"/>
      <c r="AK2" s="178"/>
      <c r="AL2" s="178"/>
      <c r="AM2" s="162" t="s">
        <v>21</v>
      </c>
      <c r="AN2" s="174" t="s">
        <v>22</v>
      </c>
      <c r="AO2" s="175"/>
      <c r="AP2" s="175"/>
      <c r="AQ2" s="175"/>
      <c r="AR2" s="175"/>
      <c r="AS2" s="177"/>
      <c r="AT2" s="121" t="s">
        <v>23</v>
      </c>
      <c r="AU2" s="121" t="s">
        <v>24</v>
      </c>
      <c r="AV2" s="181" t="s">
        <v>25</v>
      </c>
      <c r="AW2" s="184" t="s">
        <v>26</v>
      </c>
    </row>
    <row r="3" s="104" customFormat="1" ht="30" customHeight="1" outlineLevel="1" spans="1:49">
      <c r="A3" s="120"/>
      <c r="B3" s="121"/>
      <c r="C3" s="127"/>
      <c r="D3" s="128"/>
      <c r="E3" s="121"/>
      <c r="F3" s="124"/>
      <c r="G3" s="125"/>
      <c r="H3" s="126"/>
      <c r="I3" s="144"/>
      <c r="J3" s="145"/>
      <c r="K3" s="151"/>
      <c r="L3" s="147"/>
      <c r="M3" s="148"/>
      <c r="N3" s="148" t="s">
        <v>27</v>
      </c>
      <c r="O3" s="149" t="s">
        <v>28</v>
      </c>
      <c r="P3" s="150" t="s">
        <v>29</v>
      </c>
      <c r="Q3" s="159" t="s">
        <v>30</v>
      </c>
      <c r="R3" s="121" t="s">
        <v>31</v>
      </c>
      <c r="S3" s="150" t="s">
        <v>32</v>
      </c>
      <c r="T3" s="121" t="s">
        <v>33</v>
      </c>
      <c r="U3" s="121" t="s">
        <v>34</v>
      </c>
      <c r="V3" s="160" t="s">
        <v>35</v>
      </c>
      <c r="W3" s="161"/>
      <c r="X3" s="162"/>
      <c r="Y3" s="124" t="s">
        <v>36</v>
      </c>
      <c r="Z3" s="124" t="s">
        <v>37</v>
      </c>
      <c r="AA3" s="124" t="s">
        <v>38</v>
      </c>
      <c r="AB3" s="124" t="s">
        <v>39</v>
      </c>
      <c r="AC3" s="124" t="s">
        <v>40</v>
      </c>
      <c r="AD3" s="176" t="s">
        <v>41</v>
      </c>
      <c r="AE3" s="124" t="s">
        <v>42</v>
      </c>
      <c r="AF3" s="124" t="s">
        <v>43</v>
      </c>
      <c r="AG3" s="124" t="s">
        <v>44</v>
      </c>
      <c r="AH3" s="124" t="s">
        <v>45</v>
      </c>
      <c r="AI3" s="124" t="s">
        <v>46</v>
      </c>
      <c r="AJ3" s="124" t="s">
        <v>47</v>
      </c>
      <c r="AK3" s="124" t="s">
        <v>48</v>
      </c>
      <c r="AL3" s="124" t="s">
        <v>49</v>
      </c>
      <c r="AM3" s="162"/>
      <c r="AN3" s="159" t="s">
        <v>50</v>
      </c>
      <c r="AO3" s="182" t="s">
        <v>51</v>
      </c>
      <c r="AP3" s="182" t="s">
        <v>52</v>
      </c>
      <c r="AQ3" s="171" t="s">
        <v>53</v>
      </c>
      <c r="AR3" s="121" t="s">
        <v>54</v>
      </c>
      <c r="AS3" s="121" t="s">
        <v>55</v>
      </c>
      <c r="AT3" s="121"/>
      <c r="AU3" s="121"/>
      <c r="AV3" s="181"/>
      <c r="AW3" s="184"/>
    </row>
    <row r="4" s="104" customFormat="1" ht="25" customHeight="1" spans="1:49">
      <c r="A4" s="129">
        <v>1</v>
      </c>
      <c r="B4" s="130" t="s">
        <v>56</v>
      </c>
      <c r="C4" s="131">
        <v>45268</v>
      </c>
      <c r="D4" s="132">
        <v>0</v>
      </c>
      <c r="E4" s="132">
        <v>0</v>
      </c>
      <c r="F4" s="133" t="s">
        <v>57</v>
      </c>
      <c r="G4" s="133" t="s">
        <v>58</v>
      </c>
      <c r="H4" s="134">
        <v>31</v>
      </c>
      <c r="I4" s="134">
        <v>24</v>
      </c>
      <c r="J4" s="152">
        <v>4000</v>
      </c>
      <c r="K4" s="153">
        <f t="shared" ref="K4:K14" si="0">J4/31*(31-DAY(C4)+1)</f>
        <v>3096.77419354839</v>
      </c>
      <c r="L4" s="132">
        <v>0</v>
      </c>
      <c r="M4" s="132">
        <v>0</v>
      </c>
      <c r="N4" s="132">
        <v>0</v>
      </c>
      <c r="O4" s="132">
        <v>0</v>
      </c>
      <c r="P4" s="132">
        <v>0</v>
      </c>
      <c r="Q4" s="132">
        <v>0</v>
      </c>
      <c r="R4" s="132">
        <v>0</v>
      </c>
      <c r="S4" s="132">
        <v>0</v>
      </c>
      <c r="T4" s="132">
        <v>0</v>
      </c>
      <c r="U4" s="155" t="str">
        <f>IF(T4&lt;=8000,3%,"")&amp;IF(AND(T4&gt;=8001,T4&lt;=16000),4%,"")&amp;IF(AND(T4&gt;=16001,T4&lt;=24000),5%,"")&amp;IF(T4&gt;24000,6%,"")</f>
        <v>0.03</v>
      </c>
      <c r="V4" s="156">
        <f>T4*U4</f>
        <v>0</v>
      </c>
      <c r="W4" s="132">
        <v>0</v>
      </c>
      <c r="X4" s="163">
        <f>K4+L4+P4+S4+V4+W4</f>
        <v>3096.77419354839</v>
      </c>
      <c r="Y4" s="132">
        <v>0</v>
      </c>
      <c r="Z4" s="132">
        <v>0</v>
      </c>
      <c r="AA4" s="132">
        <v>0</v>
      </c>
      <c r="AB4" s="132">
        <v>0</v>
      </c>
      <c r="AC4" s="132">
        <v>0</v>
      </c>
      <c r="AD4" s="132">
        <v>0</v>
      </c>
      <c r="AE4" s="132">
        <v>0</v>
      </c>
      <c r="AF4" s="132">
        <v>0</v>
      </c>
      <c r="AG4" s="132">
        <v>0</v>
      </c>
      <c r="AH4" s="132">
        <v>0</v>
      </c>
      <c r="AI4" s="132">
        <v>0</v>
      </c>
      <c r="AJ4" s="132">
        <v>0</v>
      </c>
      <c r="AK4" s="132">
        <v>0</v>
      </c>
      <c r="AL4" s="132">
        <v>0</v>
      </c>
      <c r="AM4" s="179">
        <f>X4+SUM(Y4:AD4)-SUM(AE4:AL4)</f>
        <v>3096.77419354839</v>
      </c>
      <c r="AN4" s="132">
        <v>0</v>
      </c>
      <c r="AO4" s="132">
        <v>0</v>
      </c>
      <c r="AP4" s="132">
        <v>0</v>
      </c>
      <c r="AQ4" s="132">
        <v>0</v>
      </c>
      <c r="AR4" s="132">
        <v>0</v>
      </c>
      <c r="AS4" s="132">
        <v>0</v>
      </c>
      <c r="AT4" s="132">
        <v>0</v>
      </c>
      <c r="AU4" s="132">
        <v>0</v>
      </c>
      <c r="AV4" s="179">
        <f>AM4-SUM(AN4:AU4)</f>
        <v>3096.77419354839</v>
      </c>
      <c r="AW4" s="185"/>
    </row>
    <row r="5" s="104" customFormat="1" ht="25" customHeight="1" spans="1:49">
      <c r="A5" s="129">
        <v>2</v>
      </c>
      <c r="B5" s="130" t="s">
        <v>59</v>
      </c>
      <c r="C5" s="135">
        <v>45246</v>
      </c>
      <c r="D5" s="132">
        <v>0</v>
      </c>
      <c r="E5" s="132">
        <v>0</v>
      </c>
      <c r="F5" s="133" t="s">
        <v>57</v>
      </c>
      <c r="G5" s="133" t="s">
        <v>60</v>
      </c>
      <c r="H5" s="134">
        <v>31</v>
      </c>
      <c r="I5" s="134">
        <v>31</v>
      </c>
      <c r="J5" s="152">
        <v>2400</v>
      </c>
      <c r="K5" s="152">
        <v>2400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55" t="str">
        <f t="shared" ref="U5:U7" si="1">IF(T5&lt;=8000,3%,"")&amp;IF(AND(T5&gt;=8001,T5&lt;=16000),4%,"")&amp;IF(AND(T5&gt;=16001,T5&lt;=24000),5%,"")&amp;IF(T5&gt;24000,6%,"")</f>
        <v>0.03</v>
      </c>
      <c r="V5" s="156">
        <f t="shared" ref="V5:V7" si="2">T5*U5</f>
        <v>0</v>
      </c>
      <c r="W5" s="132">
        <v>0</v>
      </c>
      <c r="X5" s="163">
        <f t="shared" ref="X5:X7" si="3">K5+L5+P5+S5+V5+W5</f>
        <v>2400</v>
      </c>
      <c r="Y5" s="132">
        <v>0</v>
      </c>
      <c r="Z5" s="132">
        <v>0</v>
      </c>
      <c r="AA5" s="132">
        <v>0</v>
      </c>
      <c r="AB5" s="132">
        <v>0</v>
      </c>
      <c r="AC5" s="132">
        <v>0</v>
      </c>
      <c r="AD5" s="132">
        <v>0</v>
      </c>
      <c r="AE5" s="132">
        <v>0</v>
      </c>
      <c r="AF5" s="132">
        <v>0</v>
      </c>
      <c r="AG5" s="132">
        <v>0</v>
      </c>
      <c r="AH5" s="132">
        <v>0</v>
      </c>
      <c r="AI5" s="132">
        <v>0</v>
      </c>
      <c r="AJ5" s="132">
        <v>0</v>
      </c>
      <c r="AK5" s="132">
        <v>0</v>
      </c>
      <c r="AL5" s="132">
        <v>0</v>
      </c>
      <c r="AM5" s="179">
        <f t="shared" ref="AM5:AM7" si="4">X5+SUM(Y5:AD5)-SUM(AE5:AL5)</f>
        <v>2400</v>
      </c>
      <c r="AN5" s="132">
        <v>0</v>
      </c>
      <c r="AO5" s="132">
        <v>0</v>
      </c>
      <c r="AP5" s="132">
        <v>0</v>
      </c>
      <c r="AQ5" s="132">
        <v>0</v>
      </c>
      <c r="AR5" s="132">
        <v>0</v>
      </c>
      <c r="AS5" s="132">
        <v>0</v>
      </c>
      <c r="AT5" s="132">
        <v>0</v>
      </c>
      <c r="AU5" s="132">
        <v>0</v>
      </c>
      <c r="AV5" s="179">
        <f t="shared" ref="AV5:AV7" si="5">AM5-SUM(AN5:AU5)</f>
        <v>2400</v>
      </c>
      <c r="AW5" s="185"/>
    </row>
    <row r="6" s="104" customFormat="1" ht="25" customHeight="1" spans="1:49">
      <c r="A6" s="129">
        <v>3</v>
      </c>
      <c r="B6" s="130" t="s">
        <v>61</v>
      </c>
      <c r="C6" s="131">
        <v>45271</v>
      </c>
      <c r="D6" s="132">
        <v>0</v>
      </c>
      <c r="E6" s="132">
        <v>0</v>
      </c>
      <c r="F6" s="133" t="s">
        <v>57</v>
      </c>
      <c r="G6" s="133" t="s">
        <v>60</v>
      </c>
      <c r="H6" s="134">
        <v>31</v>
      </c>
      <c r="I6" s="134">
        <v>21</v>
      </c>
      <c r="J6" s="152">
        <v>2400</v>
      </c>
      <c r="K6" s="153">
        <f t="shared" si="0"/>
        <v>1625.8064516129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55" t="str">
        <f t="shared" si="1"/>
        <v>0.03</v>
      </c>
      <c r="V6" s="156">
        <f t="shared" si="2"/>
        <v>0</v>
      </c>
      <c r="W6" s="132">
        <v>0</v>
      </c>
      <c r="X6" s="163">
        <f t="shared" si="3"/>
        <v>1625.8064516129</v>
      </c>
      <c r="Y6" s="132">
        <v>0</v>
      </c>
      <c r="Z6" s="132">
        <v>0</v>
      </c>
      <c r="AA6" s="132">
        <v>0</v>
      </c>
      <c r="AB6" s="132">
        <v>0</v>
      </c>
      <c r="AC6" s="132">
        <v>0</v>
      </c>
      <c r="AD6" s="132">
        <v>0</v>
      </c>
      <c r="AE6" s="132">
        <v>0</v>
      </c>
      <c r="AF6" s="132">
        <v>0</v>
      </c>
      <c r="AG6" s="132">
        <v>0</v>
      </c>
      <c r="AH6" s="132">
        <v>0</v>
      </c>
      <c r="AI6" s="132">
        <v>0</v>
      </c>
      <c r="AJ6" s="132">
        <v>0</v>
      </c>
      <c r="AK6" s="132">
        <v>0</v>
      </c>
      <c r="AL6" s="132">
        <v>0</v>
      </c>
      <c r="AM6" s="179">
        <f t="shared" si="4"/>
        <v>1625.8064516129</v>
      </c>
      <c r="AN6" s="132">
        <v>0</v>
      </c>
      <c r="AO6" s="132">
        <v>0</v>
      </c>
      <c r="AP6" s="132">
        <v>0</v>
      </c>
      <c r="AQ6" s="132">
        <v>0</v>
      </c>
      <c r="AR6" s="132">
        <v>0</v>
      </c>
      <c r="AS6" s="132">
        <v>179</v>
      </c>
      <c r="AT6" s="132">
        <v>0</v>
      </c>
      <c r="AU6" s="132">
        <v>0</v>
      </c>
      <c r="AV6" s="179">
        <f t="shared" si="5"/>
        <v>1446.8064516129</v>
      </c>
      <c r="AW6" s="185"/>
    </row>
    <row r="7" s="104" customFormat="1" ht="25" customHeight="1" spans="1:49">
      <c r="A7" s="129">
        <v>4</v>
      </c>
      <c r="B7" s="130" t="s">
        <v>62</v>
      </c>
      <c r="C7" s="131">
        <v>45273</v>
      </c>
      <c r="D7" s="132">
        <v>0</v>
      </c>
      <c r="E7" s="132">
        <v>0</v>
      </c>
      <c r="F7" s="133" t="s">
        <v>57</v>
      </c>
      <c r="G7" s="133" t="s">
        <v>60</v>
      </c>
      <c r="H7" s="134">
        <v>31</v>
      </c>
      <c r="I7" s="134">
        <v>19</v>
      </c>
      <c r="J7" s="152">
        <v>2400</v>
      </c>
      <c r="K7" s="153">
        <f t="shared" si="0"/>
        <v>1470.96774193548</v>
      </c>
      <c r="L7" s="132">
        <v>0</v>
      </c>
      <c r="M7" s="132">
        <v>0</v>
      </c>
      <c r="N7" s="132">
        <v>0</v>
      </c>
      <c r="O7" s="132">
        <v>0</v>
      </c>
      <c r="P7" s="132">
        <v>0</v>
      </c>
      <c r="Q7" s="132">
        <v>0</v>
      </c>
      <c r="R7" s="132">
        <v>0</v>
      </c>
      <c r="S7" s="132">
        <v>0</v>
      </c>
      <c r="T7" s="132">
        <v>0</v>
      </c>
      <c r="U7" s="155" t="str">
        <f t="shared" si="1"/>
        <v>0.03</v>
      </c>
      <c r="V7" s="156">
        <f t="shared" si="2"/>
        <v>0</v>
      </c>
      <c r="W7" s="132">
        <v>0</v>
      </c>
      <c r="X7" s="163">
        <f t="shared" si="3"/>
        <v>1470.96774193548</v>
      </c>
      <c r="Y7" s="132">
        <v>0</v>
      </c>
      <c r="Z7" s="132">
        <v>0</v>
      </c>
      <c r="AA7" s="132">
        <v>0</v>
      </c>
      <c r="AB7" s="132">
        <v>0</v>
      </c>
      <c r="AC7" s="132">
        <v>0</v>
      </c>
      <c r="AD7" s="132">
        <v>0</v>
      </c>
      <c r="AE7" s="132">
        <v>0</v>
      </c>
      <c r="AF7" s="132">
        <v>0</v>
      </c>
      <c r="AG7" s="132">
        <v>0</v>
      </c>
      <c r="AH7" s="132">
        <v>0</v>
      </c>
      <c r="AI7" s="132">
        <v>0</v>
      </c>
      <c r="AJ7" s="132">
        <v>0</v>
      </c>
      <c r="AK7" s="132">
        <v>0</v>
      </c>
      <c r="AL7" s="132">
        <v>0</v>
      </c>
      <c r="AM7" s="179">
        <f t="shared" si="4"/>
        <v>1470.96774193548</v>
      </c>
      <c r="AN7" s="132">
        <v>0</v>
      </c>
      <c r="AO7" s="132">
        <v>0</v>
      </c>
      <c r="AP7" s="132">
        <v>0</v>
      </c>
      <c r="AQ7" s="132">
        <v>0</v>
      </c>
      <c r="AR7" s="132">
        <v>0</v>
      </c>
      <c r="AS7" s="132">
        <v>0</v>
      </c>
      <c r="AT7" s="132">
        <v>0</v>
      </c>
      <c r="AU7" s="132">
        <v>0</v>
      </c>
      <c r="AV7" s="179">
        <f t="shared" si="5"/>
        <v>1470.96774193548</v>
      </c>
      <c r="AW7" s="185"/>
    </row>
    <row r="8" s="104" customFormat="1" ht="25" customHeight="1" spans="1:49">
      <c r="A8" s="129">
        <v>5</v>
      </c>
      <c r="B8" s="136" t="s">
        <v>63</v>
      </c>
      <c r="C8" s="131">
        <v>45288</v>
      </c>
      <c r="D8" s="132">
        <v>0</v>
      </c>
      <c r="E8" s="132">
        <v>0</v>
      </c>
      <c r="F8" s="133" t="s">
        <v>57</v>
      </c>
      <c r="G8" s="133" t="s">
        <v>64</v>
      </c>
      <c r="H8" s="134">
        <v>31</v>
      </c>
      <c r="I8" s="134">
        <v>4</v>
      </c>
      <c r="J8" s="152">
        <v>4000</v>
      </c>
      <c r="K8" s="153">
        <f t="shared" si="0"/>
        <v>516.129032258065</v>
      </c>
      <c r="L8" s="154" t="str">
        <f t="shared" ref="L8:L21" si="6">IF(M8&lt;12000,0,"")&amp;IF(AND(M8&gt;=12000,M8&lt;16000),600,"")&amp;IF(AND(M8&gt;=16000,M8&lt;22000),900,"")&amp;IF(M8&gt;=22000,1200,"")</f>
        <v>0</v>
      </c>
      <c r="M8" s="132">
        <f>N8+Q8</f>
        <v>0</v>
      </c>
      <c r="N8" s="132">
        <v>0</v>
      </c>
      <c r="O8" s="155" t="str">
        <f t="shared" ref="O8:O21" si="7">IF(N8&lt;=6000,36%,"")&amp;IF(AND(N8&gt;=6001,N8&lt;=13000),38%,"")&amp;IF(N8&gt;13000,40%,"")</f>
        <v>0.36</v>
      </c>
      <c r="P8" s="156">
        <f t="shared" ref="P8:P21" si="8">N8*O8</f>
        <v>0</v>
      </c>
      <c r="Q8" s="132">
        <v>0</v>
      </c>
      <c r="R8" s="164">
        <f t="shared" ref="R8:R21" si="9">IF(Q8&lt;=13000,30%,IF(Q8&gt;13000,32%))</f>
        <v>0.3</v>
      </c>
      <c r="S8" s="165">
        <f t="shared" ref="S8:S21" si="10">Q8*R8</f>
        <v>0</v>
      </c>
      <c r="T8" s="132">
        <v>0</v>
      </c>
      <c r="U8" s="166" t="str">
        <f t="shared" ref="U8:U21" si="11">IF(T8&lt;=8000,3%,"")&amp;IF(AND(T8&gt;=8001,T8&lt;=16000),4%,"")&amp;IF(AND(T8&gt;=16001,T8&lt;=24000),5%,"")&amp;IF(T8&gt;24000,6%,"")</f>
        <v>0.03</v>
      </c>
      <c r="V8" s="156">
        <f t="shared" ref="V8:V21" si="12">T8*U8</f>
        <v>0</v>
      </c>
      <c r="W8" s="132">
        <v>0</v>
      </c>
      <c r="X8" s="163">
        <f t="shared" ref="X8:X21" si="13">K8+L8+P8+S8+V8+W8</f>
        <v>516.129032258065</v>
      </c>
      <c r="Y8" s="132">
        <v>0</v>
      </c>
      <c r="Z8" s="132">
        <v>0</v>
      </c>
      <c r="AA8" s="132">
        <v>0</v>
      </c>
      <c r="AB8" s="132">
        <f t="shared" ref="AB8:AB14" si="14">30*D8</f>
        <v>0</v>
      </c>
      <c r="AC8" s="132">
        <v>0</v>
      </c>
      <c r="AD8" s="132">
        <v>0</v>
      </c>
      <c r="AE8" s="132">
        <v>0</v>
      </c>
      <c r="AF8" s="132">
        <v>0</v>
      </c>
      <c r="AG8" s="132">
        <v>0</v>
      </c>
      <c r="AH8" s="132">
        <v>0</v>
      </c>
      <c r="AI8" s="132">
        <v>0</v>
      </c>
      <c r="AJ8" s="132">
        <v>0</v>
      </c>
      <c r="AK8" s="132">
        <v>0</v>
      </c>
      <c r="AL8" s="132">
        <v>0</v>
      </c>
      <c r="AM8" s="179">
        <f t="shared" ref="AM8:AM21" si="15">X8+SUM(Y8:AD8)-SUM(AE8:AL8)</f>
        <v>516.129032258065</v>
      </c>
      <c r="AN8" s="132">
        <v>0</v>
      </c>
      <c r="AO8" s="132">
        <v>0</v>
      </c>
      <c r="AP8" s="132">
        <f>300/31*(31-DAY(C8)+1)</f>
        <v>38.7096774193548</v>
      </c>
      <c r="AQ8" s="132">
        <v>0</v>
      </c>
      <c r="AR8" s="132">
        <v>0</v>
      </c>
      <c r="AS8" s="132">
        <v>100</v>
      </c>
      <c r="AT8" s="132">
        <v>0</v>
      </c>
      <c r="AU8" s="132">
        <v>0</v>
      </c>
      <c r="AV8" s="179">
        <f t="shared" ref="AV8:AV21" si="16">AM8-SUM(AN8:AU8)</f>
        <v>377.41935483871</v>
      </c>
      <c r="AW8" s="185"/>
    </row>
    <row r="9" s="104" customFormat="1" ht="25" customHeight="1" spans="1:49">
      <c r="A9" s="129">
        <v>6</v>
      </c>
      <c r="B9" s="137" t="s">
        <v>65</v>
      </c>
      <c r="C9" s="131">
        <v>45285</v>
      </c>
      <c r="D9" s="138">
        <v>14</v>
      </c>
      <c r="E9" s="132">
        <v>0</v>
      </c>
      <c r="F9" s="133" t="s">
        <v>57</v>
      </c>
      <c r="G9" s="133" t="s">
        <v>64</v>
      </c>
      <c r="H9" s="134">
        <v>31</v>
      </c>
      <c r="I9" s="134">
        <v>7</v>
      </c>
      <c r="J9" s="152">
        <v>4000</v>
      </c>
      <c r="K9" s="153">
        <f t="shared" si="0"/>
        <v>903.225806451613</v>
      </c>
      <c r="L9" s="154" t="str">
        <f t="shared" si="6"/>
        <v>0</v>
      </c>
      <c r="M9" s="132">
        <f t="shared" ref="M8:M21" si="17">N9+Q9</f>
        <v>0</v>
      </c>
      <c r="N9" s="132">
        <v>0</v>
      </c>
      <c r="O9" s="155" t="str">
        <f t="shared" si="7"/>
        <v>0.36</v>
      </c>
      <c r="P9" s="156">
        <f t="shared" si="8"/>
        <v>0</v>
      </c>
      <c r="Q9" s="132">
        <v>0</v>
      </c>
      <c r="R9" s="164">
        <f t="shared" si="9"/>
        <v>0.3</v>
      </c>
      <c r="S9" s="165">
        <f t="shared" si="10"/>
        <v>0</v>
      </c>
      <c r="T9" s="132">
        <v>0</v>
      </c>
      <c r="U9" s="155" t="str">
        <f t="shared" si="11"/>
        <v>0.03</v>
      </c>
      <c r="V9" s="156">
        <f t="shared" si="12"/>
        <v>0</v>
      </c>
      <c r="W9" s="132">
        <v>0</v>
      </c>
      <c r="X9" s="163">
        <f t="shared" si="13"/>
        <v>903.225806451613</v>
      </c>
      <c r="Y9" s="132">
        <v>0</v>
      </c>
      <c r="Z9" s="132">
        <v>0</v>
      </c>
      <c r="AA9" s="132">
        <v>0</v>
      </c>
      <c r="AB9" s="132">
        <f t="shared" si="14"/>
        <v>420</v>
      </c>
      <c r="AC9" s="132">
        <v>0</v>
      </c>
      <c r="AD9" s="132">
        <v>0</v>
      </c>
      <c r="AE9" s="132">
        <v>0</v>
      </c>
      <c r="AF9" s="132">
        <v>0</v>
      </c>
      <c r="AG9" s="132">
        <v>0</v>
      </c>
      <c r="AH9" s="132">
        <v>0</v>
      </c>
      <c r="AI9" s="132">
        <v>0</v>
      </c>
      <c r="AJ9" s="132">
        <v>0</v>
      </c>
      <c r="AK9" s="132">
        <v>0</v>
      </c>
      <c r="AL9" s="132">
        <v>0</v>
      </c>
      <c r="AM9" s="179">
        <f t="shared" si="15"/>
        <v>1323.22580645161</v>
      </c>
      <c r="AN9" s="132">
        <v>0</v>
      </c>
      <c r="AO9" s="132">
        <v>0</v>
      </c>
      <c r="AP9" s="132">
        <v>0</v>
      </c>
      <c r="AQ9" s="132">
        <v>0</v>
      </c>
      <c r="AR9" s="132">
        <v>0</v>
      </c>
      <c r="AS9" s="132">
        <v>100</v>
      </c>
      <c r="AT9" s="132">
        <v>0</v>
      </c>
      <c r="AU9" s="132">
        <v>0</v>
      </c>
      <c r="AV9" s="179">
        <f t="shared" si="16"/>
        <v>1223.22580645161</v>
      </c>
      <c r="AW9" s="185"/>
    </row>
    <row r="10" s="104" customFormat="1" ht="25" customHeight="1" spans="1:49">
      <c r="A10" s="129">
        <v>7</v>
      </c>
      <c r="B10" s="130" t="s">
        <v>66</v>
      </c>
      <c r="C10" s="131">
        <v>45285</v>
      </c>
      <c r="D10" s="138">
        <v>2</v>
      </c>
      <c r="E10" s="132">
        <v>0</v>
      </c>
      <c r="F10" s="133" t="s">
        <v>57</v>
      </c>
      <c r="G10" s="133" t="s">
        <v>64</v>
      </c>
      <c r="H10" s="134">
        <v>31</v>
      </c>
      <c r="I10" s="134">
        <v>7</v>
      </c>
      <c r="J10" s="152">
        <v>5000</v>
      </c>
      <c r="K10" s="153">
        <f t="shared" si="0"/>
        <v>1129.03225806452</v>
      </c>
      <c r="L10" s="154" t="str">
        <f t="shared" si="6"/>
        <v>0</v>
      </c>
      <c r="M10" s="132">
        <f t="shared" si="17"/>
        <v>0</v>
      </c>
      <c r="N10" s="132">
        <v>0</v>
      </c>
      <c r="O10" s="155" t="str">
        <f t="shared" si="7"/>
        <v>0.36</v>
      </c>
      <c r="P10" s="156">
        <f t="shared" si="8"/>
        <v>0</v>
      </c>
      <c r="Q10" s="132">
        <v>0</v>
      </c>
      <c r="R10" s="164">
        <f t="shared" si="9"/>
        <v>0.3</v>
      </c>
      <c r="S10" s="165">
        <f t="shared" si="10"/>
        <v>0</v>
      </c>
      <c r="T10" s="132">
        <v>0</v>
      </c>
      <c r="U10" s="155" t="str">
        <f t="shared" si="11"/>
        <v>0.03</v>
      </c>
      <c r="V10" s="156">
        <f t="shared" si="12"/>
        <v>0</v>
      </c>
      <c r="W10" s="132">
        <v>0</v>
      </c>
      <c r="X10" s="163">
        <f t="shared" si="13"/>
        <v>1129.03225806452</v>
      </c>
      <c r="Y10" s="132">
        <v>0</v>
      </c>
      <c r="Z10" s="132">
        <v>0</v>
      </c>
      <c r="AA10" s="132">
        <v>0</v>
      </c>
      <c r="AB10" s="132">
        <f t="shared" si="14"/>
        <v>60</v>
      </c>
      <c r="AC10" s="132">
        <v>0</v>
      </c>
      <c r="AD10" s="132">
        <v>0</v>
      </c>
      <c r="AE10" s="132">
        <v>0</v>
      </c>
      <c r="AF10" s="132">
        <v>0</v>
      </c>
      <c r="AG10" s="132">
        <v>0</v>
      </c>
      <c r="AH10" s="132">
        <v>0</v>
      </c>
      <c r="AI10" s="132">
        <v>0</v>
      </c>
      <c r="AJ10" s="132">
        <v>0</v>
      </c>
      <c r="AK10" s="132">
        <v>0</v>
      </c>
      <c r="AL10" s="132">
        <v>0</v>
      </c>
      <c r="AM10" s="179">
        <f t="shared" si="15"/>
        <v>1189.03225806452</v>
      </c>
      <c r="AN10" s="132">
        <v>0</v>
      </c>
      <c r="AO10" s="132">
        <v>0</v>
      </c>
      <c r="AP10" s="132">
        <v>0</v>
      </c>
      <c r="AQ10" s="132">
        <v>0</v>
      </c>
      <c r="AR10" s="132">
        <v>0</v>
      </c>
      <c r="AS10" s="132">
        <v>100</v>
      </c>
      <c r="AT10" s="132">
        <v>0</v>
      </c>
      <c r="AU10" s="132">
        <v>0</v>
      </c>
      <c r="AV10" s="179">
        <f t="shared" si="16"/>
        <v>1089.03225806452</v>
      </c>
      <c r="AW10" s="185"/>
    </row>
    <row r="11" s="104" customFormat="1" ht="25" customHeight="1" spans="1:49">
      <c r="A11" s="129">
        <v>8</v>
      </c>
      <c r="B11" s="130" t="s">
        <v>67</v>
      </c>
      <c r="C11" s="131">
        <v>45285</v>
      </c>
      <c r="D11" s="138">
        <v>23</v>
      </c>
      <c r="E11" s="132">
        <v>0</v>
      </c>
      <c r="F11" s="133" t="s">
        <v>57</v>
      </c>
      <c r="G11" s="133" t="s">
        <v>64</v>
      </c>
      <c r="H11" s="134">
        <v>31</v>
      </c>
      <c r="I11" s="134">
        <v>7</v>
      </c>
      <c r="J11" s="152">
        <v>4000</v>
      </c>
      <c r="K11" s="153">
        <f t="shared" si="0"/>
        <v>903.225806451613</v>
      </c>
      <c r="L11" s="154" t="str">
        <f t="shared" si="6"/>
        <v>0</v>
      </c>
      <c r="M11" s="132">
        <f t="shared" si="17"/>
        <v>0</v>
      </c>
      <c r="N11" s="132">
        <v>0</v>
      </c>
      <c r="O11" s="155" t="str">
        <f t="shared" si="7"/>
        <v>0.36</v>
      </c>
      <c r="P11" s="156">
        <f t="shared" si="8"/>
        <v>0</v>
      </c>
      <c r="Q11" s="132">
        <v>0</v>
      </c>
      <c r="R11" s="164">
        <f t="shared" si="9"/>
        <v>0.3</v>
      </c>
      <c r="S11" s="165">
        <f t="shared" si="10"/>
        <v>0</v>
      </c>
      <c r="T11" s="132">
        <v>0</v>
      </c>
      <c r="U11" s="155" t="str">
        <f t="shared" si="11"/>
        <v>0.03</v>
      </c>
      <c r="V11" s="156">
        <f t="shared" si="12"/>
        <v>0</v>
      </c>
      <c r="W11" s="132">
        <v>0</v>
      </c>
      <c r="X11" s="163">
        <f t="shared" si="13"/>
        <v>903.225806451613</v>
      </c>
      <c r="Y11" s="132">
        <v>0</v>
      </c>
      <c r="Z11" s="132">
        <v>0</v>
      </c>
      <c r="AA11" s="132">
        <v>0</v>
      </c>
      <c r="AB11" s="132">
        <f t="shared" si="14"/>
        <v>690</v>
      </c>
      <c r="AC11" s="132">
        <v>0</v>
      </c>
      <c r="AD11" s="132">
        <v>0</v>
      </c>
      <c r="AE11" s="132">
        <v>0</v>
      </c>
      <c r="AF11" s="132">
        <v>0</v>
      </c>
      <c r="AG11" s="132">
        <v>0</v>
      </c>
      <c r="AH11" s="132">
        <v>0</v>
      </c>
      <c r="AI11" s="132">
        <v>0</v>
      </c>
      <c r="AJ11" s="132">
        <v>0</v>
      </c>
      <c r="AK11" s="132">
        <v>0</v>
      </c>
      <c r="AL11" s="132">
        <v>0</v>
      </c>
      <c r="AM11" s="179">
        <f t="shared" si="15"/>
        <v>1593.22580645161</v>
      </c>
      <c r="AN11" s="132">
        <v>0</v>
      </c>
      <c r="AO11" s="132">
        <v>0</v>
      </c>
      <c r="AP11" s="132">
        <v>0</v>
      </c>
      <c r="AQ11" s="132">
        <v>0</v>
      </c>
      <c r="AR11" s="132">
        <v>0</v>
      </c>
      <c r="AS11" s="132">
        <v>100</v>
      </c>
      <c r="AT11" s="132">
        <v>0</v>
      </c>
      <c r="AU11" s="132">
        <v>0</v>
      </c>
      <c r="AV11" s="179">
        <f t="shared" si="16"/>
        <v>1493.22580645161</v>
      </c>
      <c r="AW11" s="186"/>
    </row>
    <row r="12" s="104" customFormat="1" ht="25" customHeight="1" spans="1:49">
      <c r="A12" s="129">
        <v>9</v>
      </c>
      <c r="B12" s="130" t="s">
        <v>68</v>
      </c>
      <c r="C12" s="131">
        <v>45285</v>
      </c>
      <c r="D12" s="138">
        <v>17</v>
      </c>
      <c r="E12" s="132">
        <v>0</v>
      </c>
      <c r="F12" s="133" t="s">
        <v>57</v>
      </c>
      <c r="G12" s="133" t="s">
        <v>64</v>
      </c>
      <c r="H12" s="134">
        <v>31</v>
      </c>
      <c r="I12" s="134">
        <v>7</v>
      </c>
      <c r="J12" s="152">
        <v>4000</v>
      </c>
      <c r="K12" s="153">
        <f t="shared" si="0"/>
        <v>903.225806451613</v>
      </c>
      <c r="L12" s="154" t="str">
        <f t="shared" si="6"/>
        <v>0</v>
      </c>
      <c r="M12" s="132">
        <f t="shared" si="17"/>
        <v>0</v>
      </c>
      <c r="N12" s="132">
        <v>0</v>
      </c>
      <c r="O12" s="155" t="str">
        <f t="shared" si="7"/>
        <v>0.36</v>
      </c>
      <c r="P12" s="156">
        <f t="shared" si="8"/>
        <v>0</v>
      </c>
      <c r="Q12" s="132">
        <v>0</v>
      </c>
      <c r="R12" s="164">
        <f t="shared" si="9"/>
        <v>0.3</v>
      </c>
      <c r="S12" s="165">
        <f t="shared" si="10"/>
        <v>0</v>
      </c>
      <c r="T12" s="132">
        <v>0</v>
      </c>
      <c r="U12" s="155" t="str">
        <f t="shared" si="11"/>
        <v>0.03</v>
      </c>
      <c r="V12" s="156">
        <f t="shared" si="12"/>
        <v>0</v>
      </c>
      <c r="W12" s="132">
        <v>0</v>
      </c>
      <c r="X12" s="163">
        <f t="shared" si="13"/>
        <v>903.225806451613</v>
      </c>
      <c r="Y12" s="132">
        <v>0</v>
      </c>
      <c r="Z12" s="132">
        <v>0</v>
      </c>
      <c r="AA12" s="132">
        <v>0</v>
      </c>
      <c r="AB12" s="132">
        <f t="shared" si="14"/>
        <v>510</v>
      </c>
      <c r="AC12" s="132">
        <v>0</v>
      </c>
      <c r="AD12" s="132">
        <v>0</v>
      </c>
      <c r="AE12" s="132">
        <v>0</v>
      </c>
      <c r="AF12" s="132">
        <v>0</v>
      </c>
      <c r="AG12" s="132">
        <v>0</v>
      </c>
      <c r="AH12" s="132">
        <v>0</v>
      </c>
      <c r="AI12" s="132">
        <v>0</v>
      </c>
      <c r="AJ12" s="132">
        <v>0</v>
      </c>
      <c r="AK12" s="132">
        <v>0</v>
      </c>
      <c r="AL12" s="132">
        <v>0</v>
      </c>
      <c r="AM12" s="179">
        <f t="shared" si="15"/>
        <v>1413.22580645161</v>
      </c>
      <c r="AN12" s="132">
        <v>0</v>
      </c>
      <c r="AO12" s="132">
        <v>0</v>
      </c>
      <c r="AP12" s="132">
        <v>0</v>
      </c>
      <c r="AQ12" s="132">
        <v>0</v>
      </c>
      <c r="AR12" s="132">
        <v>0</v>
      </c>
      <c r="AS12" s="132">
        <v>100</v>
      </c>
      <c r="AT12" s="132">
        <v>0</v>
      </c>
      <c r="AU12" s="132">
        <v>0</v>
      </c>
      <c r="AV12" s="179">
        <f t="shared" si="16"/>
        <v>1313.22580645161</v>
      </c>
      <c r="AW12" s="185"/>
    </row>
    <row r="13" s="104" customFormat="1" ht="25" customHeight="1" spans="1:49">
      <c r="A13" s="129">
        <v>10</v>
      </c>
      <c r="B13" s="130" t="s">
        <v>69</v>
      </c>
      <c r="C13" s="131">
        <v>45285</v>
      </c>
      <c r="D13" s="138">
        <v>14</v>
      </c>
      <c r="E13" s="132">
        <v>0</v>
      </c>
      <c r="F13" s="133" t="s">
        <v>57</v>
      </c>
      <c r="G13" s="133" t="s">
        <v>64</v>
      </c>
      <c r="H13" s="134">
        <v>31</v>
      </c>
      <c r="I13" s="134">
        <v>7</v>
      </c>
      <c r="J13" s="152">
        <v>4000</v>
      </c>
      <c r="K13" s="153">
        <f t="shared" si="0"/>
        <v>903.225806451613</v>
      </c>
      <c r="L13" s="154" t="str">
        <f t="shared" si="6"/>
        <v>0</v>
      </c>
      <c r="M13" s="132">
        <f t="shared" si="17"/>
        <v>0</v>
      </c>
      <c r="N13" s="132">
        <v>0</v>
      </c>
      <c r="O13" s="155" t="str">
        <f t="shared" si="7"/>
        <v>0.36</v>
      </c>
      <c r="P13" s="156">
        <f t="shared" si="8"/>
        <v>0</v>
      </c>
      <c r="Q13" s="132">
        <v>0</v>
      </c>
      <c r="R13" s="164">
        <f t="shared" si="9"/>
        <v>0.3</v>
      </c>
      <c r="S13" s="165">
        <f t="shared" si="10"/>
        <v>0</v>
      </c>
      <c r="T13" s="132">
        <v>0</v>
      </c>
      <c r="U13" s="155" t="str">
        <f t="shared" si="11"/>
        <v>0.03</v>
      </c>
      <c r="V13" s="156">
        <f t="shared" si="12"/>
        <v>0</v>
      </c>
      <c r="W13" s="132">
        <v>0</v>
      </c>
      <c r="X13" s="163">
        <f t="shared" si="13"/>
        <v>903.225806451613</v>
      </c>
      <c r="Y13" s="132">
        <v>0</v>
      </c>
      <c r="Z13" s="132">
        <v>0</v>
      </c>
      <c r="AA13" s="132">
        <v>0</v>
      </c>
      <c r="AB13" s="132">
        <f t="shared" si="14"/>
        <v>420</v>
      </c>
      <c r="AC13" s="132">
        <v>0</v>
      </c>
      <c r="AD13" s="132">
        <v>0</v>
      </c>
      <c r="AE13" s="132">
        <v>0</v>
      </c>
      <c r="AF13" s="132">
        <v>0</v>
      </c>
      <c r="AG13" s="132">
        <v>0</v>
      </c>
      <c r="AH13" s="132">
        <v>0</v>
      </c>
      <c r="AI13" s="132">
        <v>0</v>
      </c>
      <c r="AJ13" s="132">
        <v>0</v>
      </c>
      <c r="AK13" s="132">
        <v>0</v>
      </c>
      <c r="AL13" s="132">
        <v>0</v>
      </c>
      <c r="AM13" s="179">
        <f t="shared" si="15"/>
        <v>1323.22580645161</v>
      </c>
      <c r="AN13" s="132">
        <v>0</v>
      </c>
      <c r="AO13" s="132">
        <v>0</v>
      </c>
      <c r="AP13" s="132">
        <v>0</v>
      </c>
      <c r="AQ13" s="132">
        <v>0</v>
      </c>
      <c r="AR13" s="132">
        <v>0</v>
      </c>
      <c r="AS13" s="132">
        <v>100</v>
      </c>
      <c r="AT13" s="132">
        <v>0</v>
      </c>
      <c r="AU13" s="132">
        <v>0</v>
      </c>
      <c r="AV13" s="179">
        <f t="shared" si="16"/>
        <v>1223.22580645161</v>
      </c>
      <c r="AW13" s="185"/>
    </row>
    <row r="14" s="104" customFormat="1" ht="25" customHeight="1" spans="1:49">
      <c r="A14" s="129">
        <v>11</v>
      </c>
      <c r="B14" s="130" t="s">
        <v>70</v>
      </c>
      <c r="C14" s="131">
        <v>45285</v>
      </c>
      <c r="D14" s="138">
        <v>23</v>
      </c>
      <c r="E14" s="132">
        <v>0</v>
      </c>
      <c r="F14" s="133" t="s">
        <v>57</v>
      </c>
      <c r="G14" s="133" t="s">
        <v>64</v>
      </c>
      <c r="H14" s="134">
        <v>31</v>
      </c>
      <c r="I14" s="134">
        <v>7</v>
      </c>
      <c r="J14" s="152">
        <v>4000</v>
      </c>
      <c r="K14" s="153">
        <f t="shared" si="0"/>
        <v>903.225806451613</v>
      </c>
      <c r="L14" s="154" t="str">
        <f t="shared" si="6"/>
        <v>0</v>
      </c>
      <c r="M14" s="132">
        <f t="shared" si="17"/>
        <v>0</v>
      </c>
      <c r="N14" s="132">
        <v>0</v>
      </c>
      <c r="O14" s="155" t="str">
        <f t="shared" si="7"/>
        <v>0.36</v>
      </c>
      <c r="P14" s="156">
        <f t="shared" si="8"/>
        <v>0</v>
      </c>
      <c r="Q14" s="132">
        <v>0</v>
      </c>
      <c r="R14" s="164">
        <f t="shared" si="9"/>
        <v>0.3</v>
      </c>
      <c r="S14" s="165">
        <f t="shared" si="10"/>
        <v>0</v>
      </c>
      <c r="T14" s="132">
        <v>0</v>
      </c>
      <c r="U14" s="155" t="str">
        <f t="shared" si="11"/>
        <v>0.03</v>
      </c>
      <c r="V14" s="156">
        <f t="shared" si="12"/>
        <v>0</v>
      </c>
      <c r="W14" s="132">
        <v>0</v>
      </c>
      <c r="X14" s="163">
        <f t="shared" si="13"/>
        <v>903.225806451613</v>
      </c>
      <c r="Y14" s="132">
        <v>0</v>
      </c>
      <c r="Z14" s="132">
        <v>0</v>
      </c>
      <c r="AA14" s="132">
        <v>0</v>
      </c>
      <c r="AB14" s="132">
        <f t="shared" si="14"/>
        <v>690</v>
      </c>
      <c r="AC14" s="132">
        <v>0</v>
      </c>
      <c r="AD14" s="132">
        <v>0</v>
      </c>
      <c r="AE14" s="132">
        <v>0</v>
      </c>
      <c r="AF14" s="132">
        <v>0</v>
      </c>
      <c r="AG14" s="132">
        <v>0</v>
      </c>
      <c r="AH14" s="132">
        <v>0</v>
      </c>
      <c r="AI14" s="132">
        <v>0</v>
      </c>
      <c r="AJ14" s="132">
        <v>0</v>
      </c>
      <c r="AK14" s="132">
        <v>0</v>
      </c>
      <c r="AL14" s="132">
        <v>0</v>
      </c>
      <c r="AM14" s="179">
        <f t="shared" si="15"/>
        <v>1593.22580645161</v>
      </c>
      <c r="AN14" s="132">
        <v>0</v>
      </c>
      <c r="AO14" s="132">
        <v>0</v>
      </c>
      <c r="AP14" s="132">
        <v>0</v>
      </c>
      <c r="AQ14" s="132">
        <v>0</v>
      </c>
      <c r="AR14" s="132">
        <v>0</v>
      </c>
      <c r="AS14" s="132">
        <v>100</v>
      </c>
      <c r="AT14" s="132">
        <v>0</v>
      </c>
      <c r="AU14" s="132">
        <v>0</v>
      </c>
      <c r="AV14" s="179">
        <f t="shared" si="16"/>
        <v>1493.22580645161</v>
      </c>
      <c r="AW14" s="185"/>
    </row>
    <row r="15" s="104" customFormat="1" ht="25" customHeight="1" spans="1:49">
      <c r="A15" s="129"/>
      <c r="B15" s="132">
        <v>0</v>
      </c>
      <c r="C15" s="132">
        <v>0</v>
      </c>
      <c r="D15" s="132">
        <v>0</v>
      </c>
      <c r="E15" s="132">
        <v>0</v>
      </c>
      <c r="F15" s="132">
        <v>0</v>
      </c>
      <c r="G15" s="132">
        <v>0</v>
      </c>
      <c r="H15" s="132">
        <v>0</v>
      </c>
      <c r="I15" s="132">
        <v>0</v>
      </c>
      <c r="J15" s="132">
        <v>0</v>
      </c>
      <c r="K15" s="132">
        <v>0</v>
      </c>
      <c r="L15" s="154" t="str">
        <f t="shared" si="6"/>
        <v>0</v>
      </c>
      <c r="M15" s="132">
        <f t="shared" si="17"/>
        <v>0</v>
      </c>
      <c r="N15" s="132">
        <v>0</v>
      </c>
      <c r="O15" s="155" t="str">
        <f t="shared" si="7"/>
        <v>0.36</v>
      </c>
      <c r="P15" s="156">
        <f t="shared" si="8"/>
        <v>0</v>
      </c>
      <c r="Q15" s="132">
        <v>0</v>
      </c>
      <c r="R15" s="164">
        <f t="shared" si="9"/>
        <v>0.3</v>
      </c>
      <c r="S15" s="165">
        <f t="shared" si="10"/>
        <v>0</v>
      </c>
      <c r="T15" s="132">
        <v>0</v>
      </c>
      <c r="U15" s="155" t="str">
        <f t="shared" si="11"/>
        <v>0.03</v>
      </c>
      <c r="V15" s="156">
        <f t="shared" si="12"/>
        <v>0</v>
      </c>
      <c r="W15" s="132">
        <v>0</v>
      </c>
      <c r="X15" s="163">
        <f t="shared" si="13"/>
        <v>0</v>
      </c>
      <c r="Y15" s="132">
        <v>0</v>
      </c>
      <c r="Z15" s="132">
        <v>0</v>
      </c>
      <c r="AA15" s="132">
        <v>0</v>
      </c>
      <c r="AB15" s="132">
        <v>0</v>
      </c>
      <c r="AC15" s="132">
        <v>0</v>
      </c>
      <c r="AD15" s="132">
        <v>0</v>
      </c>
      <c r="AE15" s="132">
        <v>0</v>
      </c>
      <c r="AF15" s="132">
        <v>0</v>
      </c>
      <c r="AG15" s="132">
        <v>0</v>
      </c>
      <c r="AH15" s="132">
        <v>0</v>
      </c>
      <c r="AI15" s="132">
        <v>0</v>
      </c>
      <c r="AJ15" s="132">
        <v>0</v>
      </c>
      <c r="AK15" s="132">
        <v>0</v>
      </c>
      <c r="AL15" s="132">
        <v>0</v>
      </c>
      <c r="AM15" s="179">
        <f t="shared" si="15"/>
        <v>0</v>
      </c>
      <c r="AN15" s="132">
        <v>0</v>
      </c>
      <c r="AO15" s="132">
        <v>0</v>
      </c>
      <c r="AP15" s="132">
        <v>0</v>
      </c>
      <c r="AQ15" s="132">
        <v>0</v>
      </c>
      <c r="AR15" s="132">
        <v>0</v>
      </c>
      <c r="AS15" s="132">
        <v>0</v>
      </c>
      <c r="AT15" s="132">
        <v>0</v>
      </c>
      <c r="AU15" s="132">
        <v>0</v>
      </c>
      <c r="AV15" s="179">
        <f t="shared" si="16"/>
        <v>0</v>
      </c>
      <c r="AW15" s="185"/>
    </row>
    <row r="16" s="105" customFormat="1" ht="25" customHeight="1" spans="1:52">
      <c r="A16" s="139"/>
      <c r="B16" s="140">
        <v>0</v>
      </c>
      <c r="C16" s="140">
        <v>0</v>
      </c>
      <c r="D16" s="140">
        <v>0</v>
      </c>
      <c r="E16" s="140">
        <v>0</v>
      </c>
      <c r="F16" s="140">
        <v>0</v>
      </c>
      <c r="G16" s="140">
        <v>0</v>
      </c>
      <c r="H16" s="140">
        <v>0</v>
      </c>
      <c r="I16" s="140">
        <v>0</v>
      </c>
      <c r="J16" s="140">
        <f>SUM(J4:J15)</f>
        <v>40200</v>
      </c>
      <c r="K16" s="140">
        <f>SUM(K4:K15)</f>
        <v>14754.8387096774</v>
      </c>
      <c r="L16" s="140">
        <f t="shared" ref="K16:AV16" si="18">SUM(L4:L15)</f>
        <v>0</v>
      </c>
      <c r="M16" s="140">
        <f t="shared" si="18"/>
        <v>0</v>
      </c>
      <c r="N16" s="140">
        <f t="shared" si="18"/>
        <v>0</v>
      </c>
      <c r="O16" s="140">
        <f t="shared" si="18"/>
        <v>0</v>
      </c>
      <c r="P16" s="140">
        <f t="shared" si="18"/>
        <v>0</v>
      </c>
      <c r="Q16" s="140">
        <f t="shared" si="18"/>
        <v>0</v>
      </c>
      <c r="R16" s="140">
        <f t="shared" si="18"/>
        <v>2.4</v>
      </c>
      <c r="S16" s="140">
        <f t="shared" si="18"/>
        <v>0</v>
      </c>
      <c r="T16" s="140">
        <f t="shared" si="18"/>
        <v>0</v>
      </c>
      <c r="U16" s="140">
        <f t="shared" si="18"/>
        <v>0</v>
      </c>
      <c r="V16" s="140">
        <f t="shared" si="18"/>
        <v>0</v>
      </c>
      <c r="W16" s="140">
        <f t="shared" si="18"/>
        <v>0</v>
      </c>
      <c r="X16" s="140">
        <f t="shared" si="18"/>
        <v>14754.8387096774</v>
      </c>
      <c r="Y16" s="140">
        <f t="shared" si="18"/>
        <v>0</v>
      </c>
      <c r="Z16" s="140">
        <f t="shared" si="18"/>
        <v>0</v>
      </c>
      <c r="AA16" s="140">
        <f t="shared" si="18"/>
        <v>0</v>
      </c>
      <c r="AB16" s="140">
        <f t="shared" si="18"/>
        <v>2790</v>
      </c>
      <c r="AC16" s="140">
        <f t="shared" si="18"/>
        <v>0</v>
      </c>
      <c r="AD16" s="140">
        <f t="shared" si="18"/>
        <v>0</v>
      </c>
      <c r="AE16" s="140">
        <f t="shared" si="18"/>
        <v>0</v>
      </c>
      <c r="AF16" s="140">
        <f t="shared" si="18"/>
        <v>0</v>
      </c>
      <c r="AG16" s="140">
        <f t="shared" si="18"/>
        <v>0</v>
      </c>
      <c r="AH16" s="140">
        <f t="shared" si="18"/>
        <v>0</v>
      </c>
      <c r="AI16" s="140">
        <f t="shared" si="18"/>
        <v>0</v>
      </c>
      <c r="AJ16" s="140">
        <f t="shared" si="18"/>
        <v>0</v>
      </c>
      <c r="AK16" s="140">
        <f t="shared" si="18"/>
        <v>0</v>
      </c>
      <c r="AL16" s="140">
        <f t="shared" si="18"/>
        <v>0</v>
      </c>
      <c r="AM16" s="140">
        <f t="shared" si="18"/>
        <v>17544.8387096774</v>
      </c>
      <c r="AN16" s="140">
        <f t="shared" si="18"/>
        <v>0</v>
      </c>
      <c r="AO16" s="140">
        <f t="shared" si="18"/>
        <v>0</v>
      </c>
      <c r="AP16" s="140">
        <f t="shared" si="18"/>
        <v>38.7096774193548</v>
      </c>
      <c r="AQ16" s="140">
        <f t="shared" si="18"/>
        <v>0</v>
      </c>
      <c r="AR16" s="140">
        <f t="shared" si="18"/>
        <v>0</v>
      </c>
      <c r="AS16" s="140">
        <f t="shared" si="18"/>
        <v>879</v>
      </c>
      <c r="AT16" s="140">
        <f t="shared" si="18"/>
        <v>0</v>
      </c>
      <c r="AU16" s="140">
        <f t="shared" si="18"/>
        <v>0</v>
      </c>
      <c r="AV16" s="140">
        <f t="shared" si="18"/>
        <v>16627.1290322581</v>
      </c>
      <c r="AW16" s="187"/>
      <c r="AX16" s="104"/>
      <c r="AY16" s="104"/>
      <c r="AZ16" s="104"/>
    </row>
    <row r="17" s="104" customFormat="1" ht="25" customHeight="1" spans="1:49">
      <c r="A17" s="105"/>
      <c r="B17" s="105"/>
      <c r="C17" s="105"/>
      <c r="D17" s="106"/>
      <c r="E17" s="105"/>
      <c r="F17" s="107"/>
      <c r="G17" s="107"/>
      <c r="I17" s="105"/>
      <c r="J17" s="110"/>
      <c r="K17" s="110"/>
      <c r="L17" s="109"/>
      <c r="M17" s="110"/>
      <c r="N17" s="106"/>
      <c r="O17" s="111"/>
      <c r="P17" s="112"/>
      <c r="Q17" s="105"/>
      <c r="S17" s="113"/>
      <c r="T17" s="114"/>
      <c r="V17" s="115"/>
      <c r="W17" s="112"/>
      <c r="Y17" s="105"/>
      <c r="Z17" s="105"/>
      <c r="AA17" s="105"/>
      <c r="AB17" s="105"/>
      <c r="AC17" s="105"/>
      <c r="AD17" s="105"/>
      <c r="AF17" s="105"/>
      <c r="AG17" s="105"/>
      <c r="AH17" s="105"/>
      <c r="AJ17" s="105"/>
      <c r="AL17" s="105"/>
      <c r="AM17" s="180"/>
      <c r="AN17" s="105"/>
      <c r="AO17" s="105"/>
      <c r="AP17" s="105"/>
      <c r="AR17" s="105"/>
      <c r="AS17" s="105"/>
      <c r="AT17" s="105"/>
      <c r="AU17" s="105"/>
      <c r="AW17" s="116"/>
    </row>
    <row r="18" s="104" customFormat="1" ht="25" customHeight="1" spans="1:49">
      <c r="A18" s="105"/>
      <c r="B18" s="105"/>
      <c r="C18" s="105"/>
      <c r="D18" s="106"/>
      <c r="E18" s="105"/>
      <c r="F18" s="107"/>
      <c r="G18" s="107"/>
      <c r="I18" s="105"/>
      <c r="J18" s="108"/>
      <c r="K18" s="108"/>
      <c r="L18" s="109"/>
      <c r="M18" s="110"/>
      <c r="N18" s="106"/>
      <c r="O18" s="111"/>
      <c r="P18" s="112"/>
      <c r="Q18" s="105"/>
      <c r="S18" s="113"/>
      <c r="T18" s="114"/>
      <c r="V18" s="115"/>
      <c r="W18" s="112"/>
      <c r="X18" s="167"/>
      <c r="Y18" s="105"/>
      <c r="Z18" s="105"/>
      <c r="AA18" s="105"/>
      <c r="AB18" s="105"/>
      <c r="AC18" s="105"/>
      <c r="AD18" s="105"/>
      <c r="AF18" s="105"/>
      <c r="AG18" s="105"/>
      <c r="AH18" s="105"/>
      <c r="AJ18" s="105"/>
      <c r="AL18" s="105"/>
      <c r="AN18" s="105"/>
      <c r="AO18" s="105"/>
      <c r="AP18" s="105"/>
      <c r="AR18" s="105"/>
      <c r="AS18" s="105"/>
      <c r="AT18" s="105"/>
      <c r="AU18" s="105"/>
      <c r="AW18" s="116"/>
    </row>
    <row r="19" s="104" customFormat="1" ht="25" customHeight="1" spans="1:49">
      <c r="A19" s="105"/>
      <c r="B19" s="105"/>
      <c r="C19" s="105"/>
      <c r="D19" s="106"/>
      <c r="E19" s="105"/>
      <c r="F19" s="107"/>
      <c r="G19" s="107"/>
      <c r="I19" s="105"/>
      <c r="J19" s="108"/>
      <c r="K19" s="108"/>
      <c r="L19" s="109"/>
      <c r="M19" s="110"/>
      <c r="N19" s="106"/>
      <c r="O19" s="111"/>
      <c r="P19" s="112"/>
      <c r="Q19" s="105"/>
      <c r="S19" s="113"/>
      <c r="T19" s="114"/>
      <c r="V19" s="115"/>
      <c r="W19" s="112"/>
      <c r="X19" s="168"/>
      <c r="Y19" s="105"/>
      <c r="Z19" s="105"/>
      <c r="AA19" s="105"/>
      <c r="AB19" s="105"/>
      <c r="AC19" s="105"/>
      <c r="AD19" s="105"/>
      <c r="AF19" s="105"/>
      <c r="AG19" s="105"/>
      <c r="AH19" s="105"/>
      <c r="AJ19" s="105"/>
      <c r="AL19" s="105"/>
      <c r="AN19" s="105"/>
      <c r="AO19" s="105"/>
      <c r="AP19" s="105"/>
      <c r="AR19" s="105"/>
      <c r="AS19" s="105"/>
      <c r="AT19" s="105"/>
      <c r="AU19" s="105"/>
      <c r="AW19" s="116"/>
    </row>
  </sheetData>
  <sheetProtection password="C6E4" sheet="1" formatColumns="0" formatRows="0" autoFilter="0" objects="1"/>
  <autoFilter ref="A2:G16">
    <extLst/>
  </autoFilter>
  <mergeCells count="27">
    <mergeCell ref="A1:P1"/>
    <mergeCell ref="N2:S2"/>
    <mergeCell ref="T2:V2"/>
    <mergeCell ref="Y2:AD2"/>
    <mergeCell ref="AE2:AH2"/>
    <mergeCell ref="AI2:AL2"/>
    <mergeCell ref="AN2:AS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W2:W3"/>
    <mergeCell ref="X2:X3"/>
    <mergeCell ref="AM2:AM3"/>
    <mergeCell ref="AT2:AT3"/>
    <mergeCell ref="AU2:AU3"/>
    <mergeCell ref="AV2:AV3"/>
    <mergeCell ref="AW2:AW3"/>
  </mergeCells>
  <conditionalFormatting sqref="B4"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</conditionalFormatting>
  <conditionalFormatting sqref="B6">
    <cfRule type="duplicateValues" dxfId="0" priority="23"/>
    <cfRule type="duplicateValues" dxfId="0" priority="25"/>
    <cfRule type="duplicateValues" dxfId="0" priority="27"/>
    <cfRule type="duplicateValues" dxfId="0" priority="29"/>
    <cfRule type="duplicateValues" dxfId="0" priority="31"/>
    <cfRule type="duplicateValues" dxfId="0" priority="33"/>
    <cfRule type="duplicateValues" dxfId="0" priority="35"/>
    <cfRule type="duplicateValues" dxfId="0" priority="37"/>
    <cfRule type="duplicateValues" dxfId="0" priority="39"/>
    <cfRule type="duplicateValues" dxfId="0" priority="41"/>
    <cfRule type="duplicateValues" dxfId="0" priority="43"/>
    <cfRule type="duplicateValues" dxfId="0" priority="45"/>
    <cfRule type="duplicateValues" dxfId="0" priority="47"/>
    <cfRule type="duplicateValues" dxfId="0" priority="49"/>
    <cfRule type="duplicateValues" dxfId="0" priority="51"/>
    <cfRule type="duplicateValues" dxfId="0" priority="53"/>
    <cfRule type="duplicateValues" dxfId="0" priority="55"/>
    <cfRule type="duplicateValues" dxfId="0" priority="57"/>
    <cfRule type="duplicateValues" dxfId="0" priority="59"/>
    <cfRule type="duplicateValues" dxfId="0" priority="61"/>
  </conditionalFormatting>
  <conditionalFormatting sqref="B7">
    <cfRule type="duplicateValues" dxfId="0" priority="22"/>
    <cfRule type="duplicateValues" dxfId="0" priority="24"/>
    <cfRule type="duplicateValues" dxfId="0" priority="26"/>
    <cfRule type="duplicateValues" dxfId="0" priority="28"/>
    <cfRule type="duplicateValues" dxfId="0" priority="30"/>
    <cfRule type="duplicateValues" dxfId="0" priority="32"/>
    <cfRule type="duplicateValues" dxfId="0" priority="34"/>
    <cfRule type="duplicateValues" dxfId="0" priority="36"/>
    <cfRule type="duplicateValues" dxfId="0" priority="38"/>
    <cfRule type="duplicateValues" dxfId="0" priority="40"/>
    <cfRule type="duplicateValues" dxfId="0" priority="42"/>
    <cfRule type="duplicateValues" dxfId="0" priority="44"/>
    <cfRule type="duplicateValues" dxfId="0" priority="46"/>
    <cfRule type="duplicateValues" dxfId="0" priority="48"/>
    <cfRule type="duplicateValues" dxfId="0" priority="50"/>
    <cfRule type="duplicateValues" dxfId="0" priority="52"/>
    <cfRule type="duplicateValues" dxfId="0" priority="54"/>
    <cfRule type="duplicateValues" dxfId="0" priority="56"/>
    <cfRule type="duplicateValues" dxfId="0" priority="58"/>
    <cfRule type="duplicateValues" dxfId="0" priority="60"/>
  </conditionalFormatting>
  <conditionalFormatting sqref="A16">
    <cfRule type="duplicateValues" dxfId="0" priority="731"/>
  </conditionalFormatting>
  <conditionalFormatting sqref="B1:B3 B5 B8:B14 B17:B1048576">
    <cfRule type="duplicateValues" dxfId="0" priority="752"/>
    <cfRule type="duplicateValues" dxfId="0" priority="757"/>
    <cfRule type="duplicateValues" dxfId="0" priority="773"/>
    <cfRule type="duplicateValues" dxfId="0" priority="780"/>
    <cfRule type="duplicateValues" dxfId="0" priority="790"/>
    <cfRule type="duplicateValues" dxfId="0" priority="222"/>
    <cfRule type="duplicateValues" dxfId="0" priority="432"/>
    <cfRule type="duplicateValues" dxfId="0" priority="470"/>
    <cfRule type="duplicateValues" dxfId="0" priority="556"/>
    <cfRule type="duplicateValues" dxfId="0" priority="573"/>
    <cfRule type="duplicateValues" dxfId="0" priority="619"/>
    <cfRule type="duplicateValues" dxfId="0" priority="620"/>
    <cfRule type="duplicateValues" dxfId="0" priority="647"/>
    <cfRule type="duplicateValues" dxfId="0" priority="660"/>
    <cfRule type="duplicateValues" dxfId="0" priority="661"/>
    <cfRule type="duplicateValues" dxfId="0" priority="662"/>
    <cfRule type="duplicateValues" dxfId="0" priority="663"/>
    <cfRule type="duplicateValues" dxfId="0" priority="664"/>
    <cfRule type="duplicateValues" dxfId="0" priority="672"/>
    <cfRule type="duplicateValues" dxfId="0" priority="673"/>
  </conditionalFormatting>
  <conditionalFormatting sqref="B1:B14 B17:B1048576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13"/>
  <sheetViews>
    <sheetView workbookViewId="0">
      <selection activeCell="L11" sqref="L11"/>
    </sheetView>
  </sheetViews>
  <sheetFormatPr defaultColWidth="9" defaultRowHeight="25" customHeight="1"/>
  <cols>
    <col min="1" max="1" width="6.875" style="78" customWidth="1"/>
    <col min="2" max="2" width="9.875" style="78" customWidth="1"/>
    <col min="3" max="3" width="11.375" style="78" customWidth="1"/>
    <col min="4" max="4" width="9.875" style="78" customWidth="1"/>
    <col min="5" max="5" width="13.975" style="78" customWidth="1"/>
    <col min="6" max="6" width="12.5083333333333" style="78" customWidth="1"/>
    <col min="7" max="7" width="9.125" style="78" customWidth="1"/>
    <col min="8" max="8" width="12" style="78" customWidth="1"/>
    <col min="9" max="9" width="10.125" style="78" customWidth="1"/>
    <col min="10" max="10" width="13" style="78" customWidth="1"/>
    <col min="11" max="11" width="14" style="78" customWidth="1"/>
    <col min="12" max="12" width="10.125" style="78" customWidth="1"/>
    <col min="13" max="13" width="12.2583333333333" style="78" customWidth="1"/>
    <col min="14" max="14" width="19.625" style="78" customWidth="1"/>
    <col min="15" max="15" width="22.5083333333333" style="78" customWidth="1"/>
    <col min="16" max="18" width="12.625" style="78"/>
    <col min="19" max="16384" width="9" style="78"/>
  </cols>
  <sheetData>
    <row r="1" s="75" customFormat="1" ht="33" customHeight="1" spans="1:14">
      <c r="A1" s="79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</row>
    <row r="2" s="76" customFormat="1" ht="24" customHeight="1" spans="1:15">
      <c r="A2" s="80" t="s">
        <v>1</v>
      </c>
      <c r="B2" s="81" t="s">
        <v>2</v>
      </c>
      <c r="C2" s="82" t="s">
        <v>3</v>
      </c>
      <c r="D2" s="81" t="s">
        <v>6</v>
      </c>
      <c r="E2" s="83" t="s">
        <v>7</v>
      </c>
      <c r="F2" s="84" t="s">
        <v>72</v>
      </c>
      <c r="G2" s="85"/>
      <c r="H2" s="85"/>
      <c r="I2" s="85"/>
      <c r="J2" s="85"/>
      <c r="K2" s="85"/>
      <c r="L2" s="99" t="s">
        <v>73</v>
      </c>
      <c r="M2" s="99"/>
      <c r="N2" s="100" t="s">
        <v>74</v>
      </c>
      <c r="O2" s="100" t="s">
        <v>26</v>
      </c>
    </row>
    <row r="3" s="76" customFormat="1" ht="30" customHeight="1" spans="1:15">
      <c r="A3" s="80"/>
      <c r="B3" s="86"/>
      <c r="C3" s="87"/>
      <c r="D3" s="86"/>
      <c r="E3" s="88"/>
      <c r="F3" s="89" t="s">
        <v>75</v>
      </c>
      <c r="G3" s="90" t="s">
        <v>76</v>
      </c>
      <c r="H3" s="89" t="s">
        <v>77</v>
      </c>
      <c r="I3" s="89" t="s">
        <v>78</v>
      </c>
      <c r="J3" s="89" t="s">
        <v>79</v>
      </c>
      <c r="K3" s="84" t="s">
        <v>80</v>
      </c>
      <c r="L3" s="101" t="s">
        <v>81</v>
      </c>
      <c r="M3" s="80" t="s">
        <v>82</v>
      </c>
      <c r="N3" s="100"/>
      <c r="O3" s="100"/>
    </row>
    <row r="4" s="77" customFormat="1" customHeight="1" spans="1:15">
      <c r="A4" s="91">
        <v>1</v>
      </c>
      <c r="B4" s="91"/>
      <c r="C4" s="92"/>
      <c r="D4" s="91"/>
      <c r="E4" s="93"/>
      <c r="F4" s="94"/>
      <c r="G4" s="95" t="str">
        <f>IF(F4&lt;=10000,0,"")&amp;IF(AND(F4&gt;10000,F4&lt;=20000),4%,"")&amp;IF(AND(F4&gt;20000,F4&lt;=60000),5%,"")&amp;IF(F4&gt;60000,6%,"")</f>
        <v>0</v>
      </c>
      <c r="H4" s="94">
        <f>F4*G4</f>
        <v>0</v>
      </c>
      <c r="I4" s="102">
        <v>100</v>
      </c>
      <c r="J4" s="103" t="str">
        <f>IF(I4&lt;=50,70%,"")&amp;IF(AND(I4&gt;50,I4&lt;=70),80%,"")&amp;IF(I4&gt;=90,100%,"")&amp;IF(AND(I4&gt;70,I4&lt;90),90%,"")</f>
        <v>1</v>
      </c>
      <c r="K4" s="94">
        <f>J4*H4</f>
        <v>0</v>
      </c>
      <c r="L4" s="91"/>
      <c r="M4" s="91"/>
      <c r="N4" s="94">
        <f>K4-L4-M4</f>
        <v>0</v>
      </c>
      <c r="O4" s="91"/>
    </row>
    <row r="5" s="77" customFormat="1" customHeight="1" spans="1:15">
      <c r="A5" s="91">
        <v>2</v>
      </c>
      <c r="B5" s="91"/>
      <c r="C5" s="92"/>
      <c r="D5" s="91"/>
      <c r="E5" s="96"/>
      <c r="F5" s="94"/>
      <c r="G5" s="95" t="str">
        <f>IF(F5&lt;=10000,0,"")&amp;IF(AND(F5&gt;=10000,F5&lt;=30000),3%,"")&amp;IF(AND(F5&gt;=30001,F5&lt;=100000),4%,"")&amp;IF(F5&gt;100000,5%,"")</f>
        <v>0</v>
      </c>
      <c r="H5" s="94">
        <f>F5*G5</f>
        <v>0</v>
      </c>
      <c r="I5" s="102">
        <v>94</v>
      </c>
      <c r="J5" s="103" t="str">
        <f>IF(I5&lt;=50,70%,"")&amp;IF(AND(I5&gt;50,I5&lt;=70),80%,"")&amp;IF(I5&gt;=90,100%,"")&amp;IF(AND(I5&gt;70,I5&lt;90),90%,"")</f>
        <v>1</v>
      </c>
      <c r="K5" s="94">
        <f>J5*H5</f>
        <v>0</v>
      </c>
      <c r="L5" s="91"/>
      <c r="M5" s="91"/>
      <c r="N5" s="94">
        <f>K5-L5-M5</f>
        <v>0</v>
      </c>
      <c r="O5" s="91"/>
    </row>
    <row r="6" s="77" customFormat="1" customHeight="1" spans="1:15">
      <c r="A6" s="97"/>
      <c r="B6" s="97"/>
      <c r="C6" s="97"/>
      <c r="D6" s="97"/>
      <c r="E6" s="97" t="s">
        <v>83</v>
      </c>
      <c r="F6" s="98"/>
      <c r="G6" s="97"/>
      <c r="H6" s="98">
        <f>SUM(H4:H5)</f>
        <v>0</v>
      </c>
      <c r="I6" s="97"/>
      <c r="J6" s="97"/>
      <c r="K6" s="98">
        <f>SUM(K4:K5)</f>
        <v>0</v>
      </c>
      <c r="L6" s="97">
        <f>SUM(L4:L5)</f>
        <v>0</v>
      </c>
      <c r="M6" s="97">
        <f>SUM(M4:M5)</f>
        <v>0</v>
      </c>
      <c r="N6" s="98">
        <f>SUM(N4:N5)</f>
        <v>0</v>
      </c>
      <c r="O6" s="97"/>
    </row>
    <row r="9" s="78" customFormat="1" customHeight="1" spans="8:8">
      <c r="H9"/>
    </row>
    <row r="10" s="78" customFormat="1" customHeight="1" spans="8:8">
      <c r="H10"/>
    </row>
    <row r="11" s="78" customFormat="1" customHeight="1" spans="8:8">
      <c r="H11"/>
    </row>
    <row r="12" s="78" customFormat="1" customHeight="1" spans="8:8">
      <c r="H12"/>
    </row>
    <row r="13" s="78" customFormat="1" customHeight="1" spans="8:8">
      <c r="H13"/>
    </row>
  </sheetData>
  <mergeCells count="10">
    <mergeCell ref="A1:N1"/>
    <mergeCell ref="F2:K2"/>
    <mergeCell ref="L2:M2"/>
    <mergeCell ref="A2:A3"/>
    <mergeCell ref="B2:B3"/>
    <mergeCell ref="C2:C3"/>
    <mergeCell ref="D2:D3"/>
    <mergeCell ref="E2:E3"/>
    <mergeCell ref="N2:N3"/>
    <mergeCell ref="O2:O3"/>
  </mergeCells>
  <conditionalFormatting sqref="A2">
    <cfRule type="duplicateValues" dxfId="0" priority="1"/>
  </conditionalFormatting>
  <conditionalFormatting sqref="B2">
    <cfRule type="duplicateValues" dxfId="0" priority="2"/>
  </conditionalFormatting>
  <conditionalFormatting sqref="L2">
    <cfRule type="cellIs" dxfId="1" priority="3" operator="lessThan">
      <formula>5000</formula>
    </cfRule>
  </conditionalFormatting>
  <conditionalFormatting sqref="L3">
    <cfRule type="cellIs" dxfId="1" priority="4" operator="lessThan">
      <formula>5000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22"/>
  <sheetViews>
    <sheetView workbookViewId="0">
      <selection activeCell="AF28" sqref="AF28"/>
    </sheetView>
  </sheetViews>
  <sheetFormatPr defaultColWidth="9" defaultRowHeight="14.25"/>
  <cols>
    <col min="1" max="1" width="4.625" style="5" customWidth="1"/>
    <col min="2" max="2" width="8.625" style="6" customWidth="1"/>
    <col min="3" max="7" width="5.625" style="7" customWidth="1"/>
    <col min="8" max="8" width="6.5" style="5" customWidth="1"/>
    <col min="9" max="39" width="4.625" style="1" customWidth="1"/>
    <col min="40" max="40" width="29.875" style="8" customWidth="1"/>
    <col min="41" max="45" width="7.375" style="9" customWidth="1"/>
    <col min="46" max="46" width="16.25" style="10" customWidth="1"/>
    <col min="47" max="16384" width="9" style="1"/>
  </cols>
  <sheetData>
    <row r="1" s="1" customFormat="1" ht="27" customHeight="1" spans="1:46">
      <c r="A1" s="11" t="s">
        <v>84</v>
      </c>
      <c r="B1" s="12"/>
      <c r="C1" s="13"/>
      <c r="D1" s="13"/>
      <c r="E1" s="13"/>
      <c r="F1" s="13"/>
      <c r="G1" s="13"/>
      <c r="H1" s="14"/>
      <c r="I1" s="42" t="s">
        <v>85</v>
      </c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51"/>
      <c r="AO1" s="62" t="s">
        <v>86</v>
      </c>
      <c r="AP1" s="62"/>
      <c r="AQ1" s="62"/>
      <c r="AR1" s="62"/>
      <c r="AS1" s="62"/>
      <c r="AT1" s="63"/>
    </row>
    <row r="2" s="2" customFormat="1" ht="27" customHeight="1" spans="1:46">
      <c r="A2" s="7" t="s">
        <v>87</v>
      </c>
      <c r="B2" s="7">
        <v>2023</v>
      </c>
      <c r="C2" s="7" t="s">
        <v>88</v>
      </c>
      <c r="D2" s="7">
        <v>12</v>
      </c>
      <c r="E2" s="7" t="s">
        <v>89</v>
      </c>
      <c r="F2" s="7"/>
      <c r="G2" s="7"/>
      <c r="H2" s="15" t="s">
        <v>87</v>
      </c>
      <c r="I2" s="44">
        <f>DATE(B2,D2,1)</f>
        <v>45261</v>
      </c>
      <c r="J2" s="44">
        <f t="shared" ref="J2:AM2" si="0">I2+1</f>
        <v>45262</v>
      </c>
      <c r="K2" s="44">
        <f t="shared" si="0"/>
        <v>45263</v>
      </c>
      <c r="L2" s="44">
        <f t="shared" si="0"/>
        <v>45264</v>
      </c>
      <c r="M2" s="44">
        <f t="shared" si="0"/>
        <v>45265</v>
      </c>
      <c r="N2" s="44">
        <f t="shared" si="0"/>
        <v>45266</v>
      </c>
      <c r="O2" s="44">
        <f t="shared" si="0"/>
        <v>45267</v>
      </c>
      <c r="P2" s="44">
        <f t="shared" si="0"/>
        <v>45268</v>
      </c>
      <c r="Q2" s="44">
        <f t="shared" si="0"/>
        <v>45269</v>
      </c>
      <c r="R2" s="44">
        <f t="shared" si="0"/>
        <v>45270</v>
      </c>
      <c r="S2" s="44">
        <f t="shared" si="0"/>
        <v>45271</v>
      </c>
      <c r="T2" s="44">
        <f t="shared" si="0"/>
        <v>45272</v>
      </c>
      <c r="U2" s="44">
        <f t="shared" si="0"/>
        <v>45273</v>
      </c>
      <c r="V2" s="44">
        <f t="shared" si="0"/>
        <v>45274</v>
      </c>
      <c r="W2" s="44">
        <f t="shared" si="0"/>
        <v>45275</v>
      </c>
      <c r="X2" s="44">
        <f t="shared" si="0"/>
        <v>45276</v>
      </c>
      <c r="Y2" s="44">
        <f t="shared" si="0"/>
        <v>45277</v>
      </c>
      <c r="Z2" s="44">
        <f t="shared" si="0"/>
        <v>45278</v>
      </c>
      <c r="AA2" s="44">
        <f t="shared" si="0"/>
        <v>45279</v>
      </c>
      <c r="AB2" s="44">
        <f t="shared" si="0"/>
        <v>45280</v>
      </c>
      <c r="AC2" s="44">
        <f t="shared" si="0"/>
        <v>45281</v>
      </c>
      <c r="AD2" s="44">
        <f t="shared" si="0"/>
        <v>45282</v>
      </c>
      <c r="AE2" s="44">
        <f t="shared" si="0"/>
        <v>45283</v>
      </c>
      <c r="AF2" s="44">
        <f t="shared" si="0"/>
        <v>45284</v>
      </c>
      <c r="AG2" s="44">
        <f t="shared" si="0"/>
        <v>45285</v>
      </c>
      <c r="AH2" s="44">
        <f t="shared" si="0"/>
        <v>45286</v>
      </c>
      <c r="AI2" s="44">
        <f t="shared" si="0"/>
        <v>45287</v>
      </c>
      <c r="AJ2" s="44">
        <f t="shared" si="0"/>
        <v>45288</v>
      </c>
      <c r="AK2" s="44">
        <f t="shared" si="0"/>
        <v>45289</v>
      </c>
      <c r="AL2" s="44">
        <f t="shared" si="0"/>
        <v>45290</v>
      </c>
      <c r="AM2" s="44">
        <f t="shared" si="0"/>
        <v>45291</v>
      </c>
      <c r="AN2" s="52"/>
      <c r="AO2" s="64" t="s">
        <v>90</v>
      </c>
      <c r="AP2" s="64" t="s">
        <v>91</v>
      </c>
      <c r="AQ2" s="64" t="s">
        <v>92</v>
      </c>
      <c r="AR2" s="64" t="s">
        <v>93</v>
      </c>
      <c r="AS2" s="64" t="s">
        <v>94</v>
      </c>
      <c r="AT2" s="65"/>
    </row>
    <row r="3" s="3" customFormat="1" ht="39" customHeight="1" spans="1:46">
      <c r="A3" s="16" t="s">
        <v>1</v>
      </c>
      <c r="B3" s="17" t="s">
        <v>2</v>
      </c>
      <c r="C3" s="18" t="s">
        <v>95</v>
      </c>
      <c r="D3" s="18" t="s">
        <v>96</v>
      </c>
      <c r="E3" s="18" t="s">
        <v>97</v>
      </c>
      <c r="F3" s="18" t="s">
        <v>98</v>
      </c>
      <c r="G3" s="18" t="s">
        <v>99</v>
      </c>
      <c r="H3" s="15" t="s">
        <v>100</v>
      </c>
      <c r="I3" s="45">
        <f t="shared" ref="I3:AM3" si="1">I2</f>
        <v>45261</v>
      </c>
      <c r="J3" s="45">
        <f t="shared" si="1"/>
        <v>45262</v>
      </c>
      <c r="K3" s="45">
        <f t="shared" si="1"/>
        <v>45263</v>
      </c>
      <c r="L3" s="45">
        <f t="shared" si="1"/>
        <v>45264</v>
      </c>
      <c r="M3" s="45">
        <f t="shared" si="1"/>
        <v>45265</v>
      </c>
      <c r="N3" s="45">
        <f t="shared" si="1"/>
        <v>45266</v>
      </c>
      <c r="O3" s="45">
        <f t="shared" si="1"/>
        <v>45267</v>
      </c>
      <c r="P3" s="45">
        <f t="shared" si="1"/>
        <v>45268</v>
      </c>
      <c r="Q3" s="45">
        <f t="shared" si="1"/>
        <v>45269</v>
      </c>
      <c r="R3" s="45">
        <f t="shared" si="1"/>
        <v>45270</v>
      </c>
      <c r="S3" s="45">
        <f t="shared" si="1"/>
        <v>45271</v>
      </c>
      <c r="T3" s="45">
        <f t="shared" si="1"/>
        <v>45272</v>
      </c>
      <c r="U3" s="45">
        <f t="shared" si="1"/>
        <v>45273</v>
      </c>
      <c r="V3" s="45">
        <f t="shared" si="1"/>
        <v>45274</v>
      </c>
      <c r="W3" s="45">
        <f t="shared" si="1"/>
        <v>45275</v>
      </c>
      <c r="X3" s="45">
        <f t="shared" si="1"/>
        <v>45276</v>
      </c>
      <c r="Y3" s="45">
        <f t="shared" si="1"/>
        <v>45277</v>
      </c>
      <c r="Z3" s="45">
        <f t="shared" si="1"/>
        <v>45278</v>
      </c>
      <c r="AA3" s="45">
        <f t="shared" si="1"/>
        <v>45279</v>
      </c>
      <c r="AB3" s="45">
        <f t="shared" si="1"/>
        <v>45280</v>
      </c>
      <c r="AC3" s="45">
        <f t="shared" si="1"/>
        <v>45281</v>
      </c>
      <c r="AD3" s="45">
        <f t="shared" si="1"/>
        <v>45282</v>
      </c>
      <c r="AE3" s="45">
        <f t="shared" si="1"/>
        <v>45283</v>
      </c>
      <c r="AF3" s="45">
        <f t="shared" si="1"/>
        <v>45284</v>
      </c>
      <c r="AG3" s="45">
        <f t="shared" si="1"/>
        <v>45285</v>
      </c>
      <c r="AH3" s="45">
        <f t="shared" si="1"/>
        <v>45286</v>
      </c>
      <c r="AI3" s="45">
        <f t="shared" si="1"/>
        <v>45287</v>
      </c>
      <c r="AJ3" s="45">
        <f t="shared" si="1"/>
        <v>45288</v>
      </c>
      <c r="AK3" s="45">
        <f t="shared" si="1"/>
        <v>45289</v>
      </c>
      <c r="AL3" s="45">
        <f t="shared" si="1"/>
        <v>45290</v>
      </c>
      <c r="AM3" s="45">
        <f t="shared" si="1"/>
        <v>45291</v>
      </c>
      <c r="AN3" s="53" t="s">
        <v>26</v>
      </c>
      <c r="AO3" s="66"/>
      <c r="AP3" s="66"/>
      <c r="AQ3" s="66"/>
      <c r="AR3" s="66"/>
      <c r="AS3" s="66"/>
      <c r="AT3" s="67" t="s">
        <v>101</v>
      </c>
    </row>
    <row r="4" s="1" customFormat="1" ht="20" customHeight="1" spans="1:46">
      <c r="A4" s="19">
        <v>1</v>
      </c>
      <c r="B4" s="20" t="s">
        <v>56</v>
      </c>
      <c r="C4" s="21">
        <f t="shared" ref="C4:C7" si="2">COUNTIF(I4:AM4,"休")</f>
        <v>3</v>
      </c>
      <c r="D4" s="21">
        <f t="shared" ref="D4:D7" si="3">AO4+AP4+AQ4+AS4+(AR4/2)</f>
        <v>21</v>
      </c>
      <c r="E4" s="21">
        <f t="shared" ref="E4:E7" si="4">COUNTIF(I4:AM4,"事")+(COUNTIF(I4:AM4,"半天")*0.5)</f>
        <v>0</v>
      </c>
      <c r="F4" s="21">
        <f t="shared" ref="F4:F7" si="5">COUNTIF(I4:AM4,"年")</f>
        <v>0</v>
      </c>
      <c r="G4" s="21">
        <f t="shared" ref="G4:G7" si="6">COUNTIF(I4:AM4,"病")</f>
        <v>0</v>
      </c>
      <c r="H4" s="22">
        <v>37</v>
      </c>
      <c r="I4" s="46"/>
      <c r="J4" s="46"/>
      <c r="K4" s="47"/>
      <c r="L4" s="46"/>
      <c r="M4" s="46"/>
      <c r="N4" s="47"/>
      <c r="O4" s="47"/>
      <c r="P4" s="46" t="s">
        <v>102</v>
      </c>
      <c r="Q4" s="46" t="s">
        <v>102</v>
      </c>
      <c r="R4" s="47" t="s">
        <v>102</v>
      </c>
      <c r="S4" s="46" t="s">
        <v>102</v>
      </c>
      <c r="T4" s="46" t="s">
        <v>103</v>
      </c>
      <c r="U4" s="46" t="s">
        <v>103</v>
      </c>
      <c r="V4" s="46" t="s">
        <v>103</v>
      </c>
      <c r="W4" s="46" t="s">
        <v>104</v>
      </c>
      <c r="X4" s="46" t="s">
        <v>103</v>
      </c>
      <c r="Y4" s="46" t="s">
        <v>102</v>
      </c>
      <c r="Z4" s="46" t="s">
        <v>102</v>
      </c>
      <c r="AA4" s="46" t="s">
        <v>102</v>
      </c>
      <c r="AB4" s="46" t="s">
        <v>103</v>
      </c>
      <c r="AC4" s="46" t="s">
        <v>102</v>
      </c>
      <c r="AD4" s="47" t="s">
        <v>104</v>
      </c>
      <c r="AE4" s="47" t="s">
        <v>104</v>
      </c>
      <c r="AF4" s="47" t="s">
        <v>102</v>
      </c>
      <c r="AG4" s="47" t="s">
        <v>102</v>
      </c>
      <c r="AH4" s="46" t="s">
        <v>102</v>
      </c>
      <c r="AI4" s="47" t="s">
        <v>102</v>
      </c>
      <c r="AJ4" s="46" t="s">
        <v>102</v>
      </c>
      <c r="AK4" s="46" t="s">
        <v>102</v>
      </c>
      <c r="AL4" s="46" t="s">
        <v>102</v>
      </c>
      <c r="AM4" s="46" t="s">
        <v>102</v>
      </c>
      <c r="AN4" s="54"/>
      <c r="AO4" s="68">
        <f t="shared" ref="AO4:AO7" si="7">COUNTIF(I4:AM4,"A")</f>
        <v>16</v>
      </c>
      <c r="AP4" s="68">
        <f t="shared" ref="AP4:AP7" si="8">COUNTIF(I4:AM4,"B")</f>
        <v>5</v>
      </c>
      <c r="AQ4" s="68">
        <f t="shared" ref="AQ4:AQ7" si="9">COUNTIF(I4:AM4,"C")</f>
        <v>0</v>
      </c>
      <c r="AR4" s="68">
        <f t="shared" ref="AR4:AR7" si="10">COUNTIF(I4:AM4,"休半天")</f>
        <v>0</v>
      </c>
      <c r="AS4" s="68">
        <f t="shared" ref="AS4:AS7" si="11">COUNTIF(I4:AM4,"全")</f>
        <v>0</v>
      </c>
      <c r="AT4" s="46" t="s">
        <v>105</v>
      </c>
    </row>
    <row r="5" s="1" customFormat="1" ht="20" customHeight="1" spans="1:46">
      <c r="A5" s="19">
        <v>2</v>
      </c>
      <c r="B5" s="23" t="s">
        <v>59</v>
      </c>
      <c r="C5" s="21">
        <f t="shared" si="2"/>
        <v>2</v>
      </c>
      <c r="D5" s="21">
        <f t="shared" si="3"/>
        <v>29</v>
      </c>
      <c r="E5" s="21">
        <f t="shared" si="4"/>
        <v>0</v>
      </c>
      <c r="F5" s="21">
        <f t="shared" si="5"/>
        <v>0</v>
      </c>
      <c r="G5" s="21">
        <f t="shared" si="6"/>
        <v>0</v>
      </c>
      <c r="H5" s="22">
        <v>7</v>
      </c>
      <c r="I5" s="47" t="s">
        <v>102</v>
      </c>
      <c r="J5" s="47" t="s">
        <v>102</v>
      </c>
      <c r="K5" s="47" t="s">
        <v>106</v>
      </c>
      <c r="L5" s="47" t="s">
        <v>106</v>
      </c>
      <c r="M5" s="47" t="s">
        <v>106</v>
      </c>
      <c r="N5" s="47" t="s">
        <v>103</v>
      </c>
      <c r="O5" s="47" t="s">
        <v>106</v>
      </c>
      <c r="P5" s="47" t="s">
        <v>103</v>
      </c>
      <c r="Q5" s="47" t="s">
        <v>102</v>
      </c>
      <c r="R5" s="47" t="s">
        <v>102</v>
      </c>
      <c r="S5" s="47" t="s">
        <v>106</v>
      </c>
      <c r="T5" s="47" t="s">
        <v>106</v>
      </c>
      <c r="U5" s="47" t="s">
        <v>106</v>
      </c>
      <c r="V5" s="47" t="s">
        <v>103</v>
      </c>
      <c r="W5" s="47" t="s">
        <v>103</v>
      </c>
      <c r="X5" s="47" t="s">
        <v>103</v>
      </c>
      <c r="Y5" s="47" t="s">
        <v>102</v>
      </c>
      <c r="Z5" s="47" t="s">
        <v>103</v>
      </c>
      <c r="AA5" s="47" t="s">
        <v>102</v>
      </c>
      <c r="AB5" s="47" t="s">
        <v>102</v>
      </c>
      <c r="AC5" s="47" t="s">
        <v>102</v>
      </c>
      <c r="AD5" s="47" t="s">
        <v>104</v>
      </c>
      <c r="AE5" s="47" t="s">
        <v>104</v>
      </c>
      <c r="AF5" s="47" t="s">
        <v>102</v>
      </c>
      <c r="AG5" s="47" t="s">
        <v>102</v>
      </c>
      <c r="AH5" s="47" t="s">
        <v>102</v>
      </c>
      <c r="AI5" s="47" t="s">
        <v>102</v>
      </c>
      <c r="AJ5" s="47" t="s">
        <v>102</v>
      </c>
      <c r="AK5" s="47" t="s">
        <v>102</v>
      </c>
      <c r="AL5" s="47" t="s">
        <v>102</v>
      </c>
      <c r="AM5" s="47" t="s">
        <v>102</v>
      </c>
      <c r="AN5" s="54"/>
      <c r="AO5" s="68">
        <f t="shared" si="7"/>
        <v>16</v>
      </c>
      <c r="AP5" s="68">
        <f t="shared" si="8"/>
        <v>6</v>
      </c>
      <c r="AQ5" s="68">
        <f t="shared" si="9"/>
        <v>7</v>
      </c>
      <c r="AR5" s="68">
        <f t="shared" si="10"/>
        <v>0</v>
      </c>
      <c r="AS5" s="68">
        <f t="shared" si="11"/>
        <v>0</v>
      </c>
      <c r="AT5" s="46" t="s">
        <v>107</v>
      </c>
    </row>
    <row r="6" s="1" customFormat="1" ht="20" customHeight="1" spans="1:46">
      <c r="A6" s="19">
        <v>3</v>
      </c>
      <c r="B6" s="24" t="s">
        <v>61</v>
      </c>
      <c r="C6" s="25">
        <f t="shared" si="2"/>
        <v>3</v>
      </c>
      <c r="D6" s="25">
        <f t="shared" si="3"/>
        <v>18</v>
      </c>
      <c r="E6" s="21">
        <f t="shared" si="4"/>
        <v>0</v>
      </c>
      <c r="F6" s="21">
        <f t="shared" si="5"/>
        <v>0</v>
      </c>
      <c r="G6" s="21">
        <f t="shared" si="6"/>
        <v>0</v>
      </c>
      <c r="H6" s="26">
        <v>7</v>
      </c>
      <c r="I6" s="48"/>
      <c r="J6" s="48"/>
      <c r="K6" s="48"/>
      <c r="L6" s="48"/>
      <c r="M6" s="48"/>
      <c r="N6" s="48"/>
      <c r="O6" s="48"/>
      <c r="P6" s="48"/>
      <c r="Q6" s="48"/>
      <c r="R6" s="48"/>
      <c r="S6" s="48" t="s">
        <v>102</v>
      </c>
      <c r="T6" s="48" t="s">
        <v>102</v>
      </c>
      <c r="U6" s="48" t="s">
        <v>102</v>
      </c>
      <c r="V6" s="48" t="s">
        <v>102</v>
      </c>
      <c r="W6" s="48" t="s">
        <v>103</v>
      </c>
      <c r="X6" s="48" t="s">
        <v>102</v>
      </c>
      <c r="Y6" s="48" t="s">
        <v>103</v>
      </c>
      <c r="Z6" s="48" t="s">
        <v>103</v>
      </c>
      <c r="AA6" s="48" t="s">
        <v>103</v>
      </c>
      <c r="AB6" s="48" t="s">
        <v>104</v>
      </c>
      <c r="AC6" s="48" t="s">
        <v>102</v>
      </c>
      <c r="AD6" s="48" t="s">
        <v>104</v>
      </c>
      <c r="AE6" s="48" t="s">
        <v>104</v>
      </c>
      <c r="AF6" s="48" t="s">
        <v>102</v>
      </c>
      <c r="AG6" s="48" t="s">
        <v>102</v>
      </c>
      <c r="AH6" s="48" t="s">
        <v>102</v>
      </c>
      <c r="AI6" s="48" t="s">
        <v>102</v>
      </c>
      <c r="AJ6" s="48" t="s">
        <v>102</v>
      </c>
      <c r="AK6" s="48" t="s">
        <v>102</v>
      </c>
      <c r="AL6" s="48" t="s">
        <v>102</v>
      </c>
      <c r="AM6" s="48" t="s">
        <v>102</v>
      </c>
      <c r="AN6" s="55"/>
      <c r="AO6" s="69">
        <f t="shared" si="7"/>
        <v>14</v>
      </c>
      <c r="AP6" s="69">
        <f t="shared" si="8"/>
        <v>4</v>
      </c>
      <c r="AQ6" s="69">
        <f t="shared" si="9"/>
        <v>0</v>
      </c>
      <c r="AR6" s="69">
        <f t="shared" si="10"/>
        <v>0</v>
      </c>
      <c r="AS6" s="69">
        <f t="shared" si="11"/>
        <v>0</v>
      </c>
      <c r="AT6" s="70" t="s">
        <v>108</v>
      </c>
    </row>
    <row r="7" s="1" customFormat="1" ht="20" customHeight="1" spans="1:46">
      <c r="A7" s="19">
        <v>4</v>
      </c>
      <c r="B7" s="27" t="s">
        <v>62</v>
      </c>
      <c r="C7" s="25">
        <f t="shared" si="2"/>
        <v>3</v>
      </c>
      <c r="D7" s="25">
        <f t="shared" si="3"/>
        <v>16</v>
      </c>
      <c r="E7" s="21">
        <f t="shared" si="4"/>
        <v>0</v>
      </c>
      <c r="F7" s="21">
        <f t="shared" si="5"/>
        <v>0</v>
      </c>
      <c r="G7" s="21">
        <f t="shared" si="6"/>
        <v>0</v>
      </c>
      <c r="H7" s="26">
        <v>7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 t="s">
        <v>102</v>
      </c>
      <c r="V7" s="48" t="s">
        <v>102</v>
      </c>
      <c r="W7" s="48" t="s">
        <v>102</v>
      </c>
      <c r="X7" s="48" t="s">
        <v>102</v>
      </c>
      <c r="Y7" s="48" t="s">
        <v>102</v>
      </c>
      <c r="Z7" s="48" t="s">
        <v>103</v>
      </c>
      <c r="AA7" s="48" t="s">
        <v>104</v>
      </c>
      <c r="AB7" s="48" t="s">
        <v>102</v>
      </c>
      <c r="AC7" s="48" t="s">
        <v>102</v>
      </c>
      <c r="AD7" s="48" t="s">
        <v>104</v>
      </c>
      <c r="AE7" s="48" t="s">
        <v>104</v>
      </c>
      <c r="AF7" s="48" t="s">
        <v>102</v>
      </c>
      <c r="AG7" s="48" t="s">
        <v>102</v>
      </c>
      <c r="AH7" s="48" t="s">
        <v>102</v>
      </c>
      <c r="AI7" s="48" t="s">
        <v>102</v>
      </c>
      <c r="AJ7" s="48" t="s">
        <v>102</v>
      </c>
      <c r="AK7" s="48" t="s">
        <v>102</v>
      </c>
      <c r="AL7" s="48" t="s">
        <v>102</v>
      </c>
      <c r="AM7" s="48" t="s">
        <v>102</v>
      </c>
      <c r="AN7" s="56"/>
      <c r="AO7" s="69">
        <f t="shared" si="7"/>
        <v>15</v>
      </c>
      <c r="AP7" s="69">
        <f t="shared" si="8"/>
        <v>1</v>
      </c>
      <c r="AQ7" s="69">
        <f t="shared" si="9"/>
        <v>0</v>
      </c>
      <c r="AR7" s="69">
        <f t="shared" si="10"/>
        <v>0</v>
      </c>
      <c r="AS7" s="69">
        <f t="shared" si="11"/>
        <v>0</v>
      </c>
      <c r="AT7" s="70" t="s">
        <v>108</v>
      </c>
    </row>
    <row r="8" s="4" customFormat="1" ht="20" customHeight="1" spans="1:46">
      <c r="A8" s="28" t="s">
        <v>64</v>
      </c>
      <c r="B8" s="29"/>
      <c r="C8" s="21"/>
      <c r="D8" s="21"/>
      <c r="E8" s="21">
        <f t="shared" ref="E8:E15" si="12">COUNTIF(I8:AM8,"事")+(COUNTIF(I8:AM8,"半天")+(COUNTIF(I8:AM8,"3h")*0.5))</f>
        <v>0</v>
      </c>
      <c r="F8" s="21"/>
      <c r="G8" s="21"/>
      <c r="H8" s="22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57"/>
      <c r="AO8" s="71"/>
      <c r="AP8" s="68"/>
      <c r="AQ8" s="68"/>
      <c r="AR8" s="68"/>
      <c r="AS8" s="68"/>
      <c r="AT8" s="46"/>
    </row>
    <row r="9" s="1" customFormat="1" ht="20" customHeight="1" spans="1:46">
      <c r="A9" s="30">
        <v>1</v>
      </c>
      <c r="B9" s="31" t="s">
        <v>63</v>
      </c>
      <c r="C9" s="32">
        <f t="shared" ref="C9:C15" si="13">COUNTIF(I9:AM9,"休")</f>
        <v>0</v>
      </c>
      <c r="D9" s="32">
        <f t="shared" ref="D9:D15" si="14">AO9+AP9+AQ9+AS9+(AR9/2)</f>
        <v>4</v>
      </c>
      <c r="E9" s="21">
        <f t="shared" si="12"/>
        <v>0</v>
      </c>
      <c r="F9" s="21">
        <f t="shared" ref="F9:F15" si="15">COUNTIF(I9:AM9,"年")</f>
        <v>0</v>
      </c>
      <c r="G9" s="21">
        <f t="shared" ref="G9:G15" si="16">COUNTIF(I9:AM9,"病")</f>
        <v>0</v>
      </c>
      <c r="H9" s="33"/>
      <c r="I9" s="49"/>
      <c r="J9" s="50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 t="s">
        <v>102</v>
      </c>
      <c r="AK9" s="49" t="s">
        <v>102</v>
      </c>
      <c r="AL9" s="49" t="s">
        <v>102</v>
      </c>
      <c r="AM9" s="49" t="s">
        <v>102</v>
      </c>
      <c r="AN9" s="58"/>
      <c r="AO9" s="72">
        <f t="shared" ref="AO9:AO15" si="17">COUNTIF(I9:AM9,"A")</f>
        <v>4</v>
      </c>
      <c r="AP9" s="73">
        <f t="shared" ref="AP9:AP15" si="18">COUNTIF(I9:AM9,"B")</f>
        <v>0</v>
      </c>
      <c r="AQ9" s="73">
        <f t="shared" ref="AQ9:AQ15" si="19">COUNTIF(I9:AM9,"C")</f>
        <v>0</v>
      </c>
      <c r="AR9" s="73">
        <f t="shared" ref="AR9:AR15" si="20">COUNTIF(I9:AM9,"3h")</f>
        <v>0</v>
      </c>
      <c r="AS9" s="73">
        <f t="shared" ref="AS9:AS15" si="21">COUNTIF(I9:AM9,"全")</f>
        <v>0</v>
      </c>
      <c r="AT9" s="49" t="s">
        <v>109</v>
      </c>
    </row>
    <row r="10" s="1" customFormat="1" ht="20" customHeight="1" spans="1:46">
      <c r="A10" s="19">
        <v>2</v>
      </c>
      <c r="B10" s="23" t="s">
        <v>65</v>
      </c>
      <c r="C10" s="21">
        <f t="shared" si="13"/>
        <v>0</v>
      </c>
      <c r="D10" s="21">
        <f t="shared" si="14"/>
        <v>7</v>
      </c>
      <c r="E10" s="21">
        <f t="shared" si="12"/>
        <v>0</v>
      </c>
      <c r="F10" s="21">
        <f t="shared" si="15"/>
        <v>0</v>
      </c>
      <c r="G10" s="21">
        <f t="shared" si="16"/>
        <v>0</v>
      </c>
      <c r="H10" s="22">
        <v>7</v>
      </c>
      <c r="I10" s="46"/>
      <c r="J10" s="47"/>
      <c r="K10" s="47"/>
      <c r="L10" s="47"/>
      <c r="M10" s="46"/>
      <c r="N10" s="47"/>
      <c r="O10" s="46"/>
      <c r="P10" s="47"/>
      <c r="Q10" s="47"/>
      <c r="R10" s="47"/>
      <c r="S10" s="46"/>
      <c r="T10" s="46"/>
      <c r="U10" s="47"/>
      <c r="V10" s="46"/>
      <c r="W10" s="47"/>
      <c r="X10" s="47"/>
      <c r="Y10" s="47"/>
      <c r="Z10" s="47"/>
      <c r="AA10" s="47"/>
      <c r="AB10" s="47"/>
      <c r="AC10" s="47"/>
      <c r="AD10" s="46"/>
      <c r="AE10" s="47"/>
      <c r="AF10" s="47"/>
      <c r="AG10" s="47" t="s">
        <v>102</v>
      </c>
      <c r="AH10" s="47" t="s">
        <v>102</v>
      </c>
      <c r="AI10" s="47" t="s">
        <v>102</v>
      </c>
      <c r="AJ10" s="47" t="s">
        <v>102</v>
      </c>
      <c r="AK10" s="47" t="s">
        <v>102</v>
      </c>
      <c r="AL10" s="47" t="s">
        <v>102</v>
      </c>
      <c r="AM10" s="47" t="s">
        <v>102</v>
      </c>
      <c r="AN10" s="59"/>
      <c r="AO10" s="71">
        <f t="shared" si="17"/>
        <v>7</v>
      </c>
      <c r="AP10" s="68">
        <f t="shared" si="18"/>
        <v>0</v>
      </c>
      <c r="AQ10" s="68">
        <f t="shared" si="19"/>
        <v>0</v>
      </c>
      <c r="AR10" s="73">
        <f t="shared" si="20"/>
        <v>0</v>
      </c>
      <c r="AS10" s="68">
        <f t="shared" si="21"/>
        <v>0</v>
      </c>
      <c r="AT10" s="46" t="s">
        <v>110</v>
      </c>
    </row>
    <row r="11" s="1" customFormat="1" ht="20" customHeight="1" spans="1:46">
      <c r="A11" s="19">
        <v>3</v>
      </c>
      <c r="B11" s="23" t="s">
        <v>66</v>
      </c>
      <c r="C11" s="21">
        <f t="shared" si="13"/>
        <v>1</v>
      </c>
      <c r="D11" s="21">
        <f t="shared" si="14"/>
        <v>6</v>
      </c>
      <c r="E11" s="21">
        <f t="shared" si="12"/>
        <v>0</v>
      </c>
      <c r="F11" s="21">
        <f t="shared" si="15"/>
        <v>0</v>
      </c>
      <c r="G11" s="21">
        <f t="shared" si="16"/>
        <v>0</v>
      </c>
      <c r="H11" s="22">
        <v>7</v>
      </c>
      <c r="I11" s="46"/>
      <c r="J11" s="47"/>
      <c r="K11" s="47"/>
      <c r="L11" s="47"/>
      <c r="M11" s="46"/>
      <c r="N11" s="47"/>
      <c r="O11" s="46"/>
      <c r="P11" s="47"/>
      <c r="Q11" s="47"/>
      <c r="R11" s="47"/>
      <c r="S11" s="46"/>
      <c r="T11" s="47"/>
      <c r="U11" s="47"/>
      <c r="V11" s="47"/>
      <c r="W11" s="47"/>
      <c r="X11" s="46"/>
      <c r="Y11" s="47"/>
      <c r="Z11" s="47"/>
      <c r="AA11" s="47"/>
      <c r="AB11" s="47"/>
      <c r="AC11" s="47"/>
      <c r="AD11" s="46"/>
      <c r="AE11" s="47"/>
      <c r="AF11" s="47"/>
      <c r="AG11" s="47" t="s">
        <v>102</v>
      </c>
      <c r="AH11" s="47" t="s">
        <v>102</v>
      </c>
      <c r="AI11" s="47" t="s">
        <v>102</v>
      </c>
      <c r="AJ11" s="47" t="s">
        <v>102</v>
      </c>
      <c r="AK11" s="47" t="s">
        <v>102</v>
      </c>
      <c r="AL11" s="47" t="s">
        <v>102</v>
      </c>
      <c r="AM11" s="47" t="s">
        <v>104</v>
      </c>
      <c r="AN11" s="60"/>
      <c r="AO11" s="71">
        <f t="shared" si="17"/>
        <v>6</v>
      </c>
      <c r="AP11" s="68">
        <f t="shared" si="18"/>
        <v>0</v>
      </c>
      <c r="AQ11" s="68">
        <f t="shared" si="19"/>
        <v>0</v>
      </c>
      <c r="AR11" s="73">
        <f t="shared" si="20"/>
        <v>0</v>
      </c>
      <c r="AS11" s="68">
        <f t="shared" si="21"/>
        <v>0</v>
      </c>
      <c r="AT11" s="74" t="s">
        <v>111</v>
      </c>
    </row>
    <row r="12" s="1" customFormat="1" ht="20" customHeight="1" spans="1:46">
      <c r="A12" s="19">
        <v>4</v>
      </c>
      <c r="B12" s="23" t="s">
        <v>67</v>
      </c>
      <c r="C12" s="21">
        <f t="shared" si="13"/>
        <v>1</v>
      </c>
      <c r="D12" s="21">
        <f t="shared" si="14"/>
        <v>6</v>
      </c>
      <c r="E12" s="21">
        <f t="shared" si="12"/>
        <v>0</v>
      </c>
      <c r="F12" s="21">
        <f t="shared" si="15"/>
        <v>0</v>
      </c>
      <c r="G12" s="21">
        <f t="shared" si="16"/>
        <v>0</v>
      </c>
      <c r="H12" s="22">
        <v>7</v>
      </c>
      <c r="I12" s="46"/>
      <c r="J12" s="47"/>
      <c r="K12" s="47"/>
      <c r="L12" s="47"/>
      <c r="M12" s="46"/>
      <c r="N12" s="47"/>
      <c r="O12" s="46"/>
      <c r="P12" s="47"/>
      <c r="Q12" s="47"/>
      <c r="R12" s="46"/>
      <c r="S12" s="46"/>
      <c r="T12" s="47"/>
      <c r="U12" s="47"/>
      <c r="V12" s="47"/>
      <c r="W12" s="47"/>
      <c r="X12" s="47"/>
      <c r="Y12" s="46"/>
      <c r="Z12" s="47"/>
      <c r="AA12" s="47"/>
      <c r="AB12" s="47"/>
      <c r="AC12" s="47"/>
      <c r="AD12" s="46"/>
      <c r="AE12" s="47"/>
      <c r="AF12" s="46"/>
      <c r="AG12" s="47" t="s">
        <v>102</v>
      </c>
      <c r="AH12" s="47" t="s">
        <v>102</v>
      </c>
      <c r="AI12" s="47" t="s">
        <v>102</v>
      </c>
      <c r="AJ12" s="47" t="s">
        <v>102</v>
      </c>
      <c r="AK12" s="47" t="s">
        <v>104</v>
      </c>
      <c r="AL12" s="47" t="s">
        <v>102</v>
      </c>
      <c r="AM12" s="47" t="s">
        <v>102</v>
      </c>
      <c r="AN12" s="60"/>
      <c r="AO12" s="71">
        <f t="shared" si="17"/>
        <v>6</v>
      </c>
      <c r="AP12" s="68">
        <f t="shared" si="18"/>
        <v>0</v>
      </c>
      <c r="AQ12" s="68">
        <f t="shared" si="19"/>
        <v>0</v>
      </c>
      <c r="AR12" s="73">
        <f t="shared" si="20"/>
        <v>0</v>
      </c>
      <c r="AS12" s="68">
        <f t="shared" si="21"/>
        <v>0</v>
      </c>
      <c r="AT12" s="46"/>
    </row>
    <row r="13" s="1" customFormat="1" ht="21" customHeight="1" spans="1:46">
      <c r="A13" s="19">
        <v>5</v>
      </c>
      <c r="B13" s="23" t="s">
        <v>68</v>
      </c>
      <c r="C13" s="21">
        <f t="shared" si="13"/>
        <v>0</v>
      </c>
      <c r="D13" s="21">
        <f t="shared" si="14"/>
        <v>7</v>
      </c>
      <c r="E13" s="21">
        <f t="shared" si="12"/>
        <v>0</v>
      </c>
      <c r="F13" s="21">
        <f t="shared" si="15"/>
        <v>0</v>
      </c>
      <c r="G13" s="21">
        <f t="shared" si="16"/>
        <v>0</v>
      </c>
      <c r="H13" s="22"/>
      <c r="I13" s="46"/>
      <c r="J13" s="47"/>
      <c r="K13" s="46"/>
      <c r="L13" s="47"/>
      <c r="M13" s="46"/>
      <c r="N13" s="47"/>
      <c r="O13" s="46"/>
      <c r="P13" s="46"/>
      <c r="Q13" s="46"/>
      <c r="R13" s="46"/>
      <c r="S13" s="46"/>
      <c r="T13" s="46"/>
      <c r="U13" s="46"/>
      <c r="V13" s="46"/>
      <c r="W13" s="46"/>
      <c r="X13" s="47"/>
      <c r="Y13" s="47"/>
      <c r="Z13" s="47"/>
      <c r="AA13" s="47"/>
      <c r="AB13" s="47"/>
      <c r="AC13" s="47"/>
      <c r="AD13" s="46"/>
      <c r="AE13" s="47"/>
      <c r="AF13" s="47"/>
      <c r="AG13" s="47" t="s">
        <v>102</v>
      </c>
      <c r="AH13" s="47" t="s">
        <v>102</v>
      </c>
      <c r="AI13" s="47" t="s">
        <v>102</v>
      </c>
      <c r="AJ13" s="47" t="s">
        <v>102</v>
      </c>
      <c r="AK13" s="47" t="s">
        <v>102</v>
      </c>
      <c r="AL13" s="47" t="s">
        <v>102</v>
      </c>
      <c r="AM13" s="47" t="s">
        <v>102</v>
      </c>
      <c r="AN13" s="60"/>
      <c r="AO13" s="71">
        <f t="shared" si="17"/>
        <v>7</v>
      </c>
      <c r="AP13" s="68">
        <f t="shared" si="18"/>
        <v>0</v>
      </c>
      <c r="AQ13" s="68">
        <f t="shared" si="19"/>
        <v>0</v>
      </c>
      <c r="AR13" s="73">
        <f t="shared" si="20"/>
        <v>0</v>
      </c>
      <c r="AS13" s="68">
        <f t="shared" si="21"/>
        <v>0</v>
      </c>
      <c r="AT13" s="46"/>
    </row>
    <row r="14" s="1" customFormat="1" ht="21" customHeight="1" spans="1:46">
      <c r="A14" s="19">
        <v>6</v>
      </c>
      <c r="B14" s="23" t="s">
        <v>69</v>
      </c>
      <c r="C14" s="21">
        <f t="shared" si="13"/>
        <v>0</v>
      </c>
      <c r="D14" s="21">
        <f t="shared" si="14"/>
        <v>7</v>
      </c>
      <c r="E14" s="21">
        <f t="shared" si="12"/>
        <v>0</v>
      </c>
      <c r="F14" s="21">
        <f t="shared" si="15"/>
        <v>0</v>
      </c>
      <c r="G14" s="21">
        <f t="shared" si="16"/>
        <v>0</v>
      </c>
      <c r="H14" s="22">
        <v>7</v>
      </c>
      <c r="I14" s="46"/>
      <c r="J14" s="47"/>
      <c r="K14" s="47"/>
      <c r="L14" s="47"/>
      <c r="M14" s="46"/>
      <c r="N14" s="47"/>
      <c r="O14" s="46"/>
      <c r="P14" s="47"/>
      <c r="Q14" s="47"/>
      <c r="R14" s="47"/>
      <c r="S14" s="46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6"/>
      <c r="AE14" s="47"/>
      <c r="AF14" s="46"/>
      <c r="AG14" s="47" t="s">
        <v>102</v>
      </c>
      <c r="AH14" s="47" t="s">
        <v>102</v>
      </c>
      <c r="AI14" s="47" t="s">
        <v>102</v>
      </c>
      <c r="AJ14" s="47" t="s">
        <v>102</v>
      </c>
      <c r="AK14" s="47" t="s">
        <v>102</v>
      </c>
      <c r="AL14" s="47" t="s">
        <v>102</v>
      </c>
      <c r="AM14" s="47" t="s">
        <v>102</v>
      </c>
      <c r="AN14" s="60"/>
      <c r="AO14" s="71">
        <f t="shared" si="17"/>
        <v>7</v>
      </c>
      <c r="AP14" s="68">
        <f t="shared" si="18"/>
        <v>0</v>
      </c>
      <c r="AQ14" s="68">
        <f t="shared" si="19"/>
        <v>0</v>
      </c>
      <c r="AR14" s="73">
        <f t="shared" si="20"/>
        <v>0</v>
      </c>
      <c r="AS14" s="68">
        <f t="shared" si="21"/>
        <v>0</v>
      </c>
      <c r="AT14" s="46"/>
    </row>
    <row r="15" s="1" customFormat="1" ht="21" customHeight="1" spans="1:46">
      <c r="A15" s="19">
        <v>7</v>
      </c>
      <c r="B15" s="23" t="s">
        <v>70</v>
      </c>
      <c r="C15" s="21">
        <f t="shared" si="13"/>
        <v>0</v>
      </c>
      <c r="D15" s="21">
        <f t="shared" si="14"/>
        <v>7</v>
      </c>
      <c r="E15" s="21">
        <f t="shared" si="12"/>
        <v>0</v>
      </c>
      <c r="F15" s="21">
        <f t="shared" si="15"/>
        <v>0</v>
      </c>
      <c r="G15" s="21">
        <f t="shared" si="16"/>
        <v>0</v>
      </c>
      <c r="H15" s="22">
        <v>7</v>
      </c>
      <c r="I15" s="46"/>
      <c r="J15" s="47"/>
      <c r="K15" s="47"/>
      <c r="L15" s="47"/>
      <c r="M15" s="46"/>
      <c r="N15" s="47"/>
      <c r="O15" s="46"/>
      <c r="P15" s="47"/>
      <c r="Q15" s="47"/>
      <c r="R15" s="46"/>
      <c r="S15" s="46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6"/>
      <c r="AE15" s="47"/>
      <c r="AF15" s="46"/>
      <c r="AG15" s="47" t="s">
        <v>102</v>
      </c>
      <c r="AH15" s="47" t="s">
        <v>102</v>
      </c>
      <c r="AI15" s="47" t="s">
        <v>102</v>
      </c>
      <c r="AJ15" s="47" t="s">
        <v>102</v>
      </c>
      <c r="AK15" s="47" t="s">
        <v>102</v>
      </c>
      <c r="AL15" s="47" t="s">
        <v>102</v>
      </c>
      <c r="AM15" s="47" t="s">
        <v>102</v>
      </c>
      <c r="AN15" s="61"/>
      <c r="AO15" s="71">
        <f t="shared" si="17"/>
        <v>7</v>
      </c>
      <c r="AP15" s="68">
        <f t="shared" si="18"/>
        <v>0</v>
      </c>
      <c r="AQ15" s="68">
        <f t="shared" si="19"/>
        <v>0</v>
      </c>
      <c r="AR15" s="73">
        <f t="shared" si="20"/>
        <v>0</v>
      </c>
      <c r="AS15" s="68">
        <f t="shared" si="21"/>
        <v>0</v>
      </c>
      <c r="AT15" s="46"/>
    </row>
    <row r="16" s="1" customFormat="1" ht="17" customHeight="1" spans="1:46">
      <c r="A16" s="34" t="s">
        <v>112</v>
      </c>
      <c r="B16" s="35" t="s">
        <v>113</v>
      </c>
      <c r="C16" s="36"/>
      <c r="D16" s="36"/>
      <c r="E16" s="36"/>
      <c r="F16" s="36"/>
      <c r="G16" s="36"/>
      <c r="H16" s="37"/>
      <c r="AN16" s="8"/>
      <c r="AO16" s="9"/>
      <c r="AP16" s="9"/>
      <c r="AQ16" s="9"/>
      <c r="AR16" s="9"/>
      <c r="AS16" s="9"/>
      <c r="AT16" s="10"/>
    </row>
    <row r="17" s="1" customFormat="1" ht="17" customHeight="1" spans="1:46">
      <c r="A17" s="5"/>
      <c r="B17" s="35" t="s">
        <v>114</v>
      </c>
      <c r="C17" s="36"/>
      <c r="D17" s="36"/>
      <c r="E17" s="36"/>
      <c r="F17" s="36"/>
      <c r="G17" s="36"/>
      <c r="H17" s="37"/>
      <c r="AN17" s="8"/>
      <c r="AO17" s="9"/>
      <c r="AP17" s="9"/>
      <c r="AQ17" s="9"/>
      <c r="AR17" s="9"/>
      <c r="AS17" s="9"/>
      <c r="AT17" s="10"/>
    </row>
    <row r="18" s="1" customFormat="1" ht="17" customHeight="1" spans="1:46">
      <c r="A18" s="5"/>
      <c r="B18" s="38" t="s">
        <v>115</v>
      </c>
      <c r="C18" s="39"/>
      <c r="D18" s="39"/>
      <c r="E18" s="39"/>
      <c r="F18" s="39"/>
      <c r="G18" s="39"/>
      <c r="H18" s="40"/>
      <c r="AN18" s="8"/>
      <c r="AO18" s="9"/>
      <c r="AP18" s="9"/>
      <c r="AQ18" s="9"/>
      <c r="AR18" s="9"/>
      <c r="AS18" s="9"/>
      <c r="AT18" s="10"/>
    </row>
    <row r="19" s="1" customFormat="1" spans="1:46">
      <c r="A19" s="5"/>
      <c r="B19" s="38" t="s">
        <v>116</v>
      </c>
      <c r="C19" s="41"/>
      <c r="D19" s="41"/>
      <c r="E19" s="41"/>
      <c r="F19" s="41"/>
      <c r="G19" s="41"/>
      <c r="H19" s="41"/>
      <c r="AN19" s="8"/>
      <c r="AO19" s="9"/>
      <c r="AP19" s="9"/>
      <c r="AQ19" s="9"/>
      <c r="AR19" s="9"/>
      <c r="AS19" s="9"/>
      <c r="AT19" s="10"/>
    </row>
    <row r="20" s="1" customFormat="1" spans="1:46">
      <c r="A20" s="5"/>
      <c r="B20" s="6"/>
      <c r="C20" s="7"/>
      <c r="D20" s="7"/>
      <c r="E20" s="7"/>
      <c r="F20" s="7"/>
      <c r="G20" s="7"/>
      <c r="H20" s="5"/>
      <c r="AN20" s="8"/>
      <c r="AO20" s="9"/>
      <c r="AP20" s="9"/>
      <c r="AQ20" s="9"/>
      <c r="AR20" s="9"/>
      <c r="AS20" s="9"/>
      <c r="AT20" s="10"/>
    </row>
    <row r="21" s="1" customFormat="1" spans="1:46">
      <c r="A21" s="5"/>
      <c r="B21" s="6"/>
      <c r="C21" s="7"/>
      <c r="D21" s="7"/>
      <c r="E21" s="7"/>
      <c r="F21" s="7"/>
      <c r="G21" s="7"/>
      <c r="H21" s="5"/>
      <c r="AN21" s="8"/>
      <c r="AO21" s="9"/>
      <c r="AP21" s="9"/>
      <c r="AQ21" s="9"/>
      <c r="AR21" s="9"/>
      <c r="AS21" s="9"/>
      <c r="AT21" s="10"/>
    </row>
    <row r="22" s="1" customFormat="1" spans="1:46">
      <c r="A22" s="5"/>
      <c r="B22" s="6"/>
      <c r="C22" s="7"/>
      <c r="D22" s="7"/>
      <c r="E22" s="7"/>
      <c r="F22" s="7"/>
      <c r="G22" s="7"/>
      <c r="H22" s="5"/>
      <c r="AN22" s="8"/>
      <c r="AO22" s="9"/>
      <c r="AP22" s="9"/>
      <c r="AQ22" s="9"/>
      <c r="AR22" s="9"/>
      <c r="AS22" s="9"/>
      <c r="AT22" s="10"/>
    </row>
  </sheetData>
  <mergeCells count="13">
    <mergeCell ref="A1:H1"/>
    <mergeCell ref="I1:AM1"/>
    <mergeCell ref="AO1:AS1"/>
    <mergeCell ref="A8:B8"/>
    <mergeCell ref="B16:H16"/>
    <mergeCell ref="B17:H17"/>
    <mergeCell ref="B18:H18"/>
    <mergeCell ref="B19:H19"/>
    <mergeCell ref="AO2:AO3"/>
    <mergeCell ref="AP2:AP3"/>
    <mergeCell ref="AQ2:AQ3"/>
    <mergeCell ref="AR2:AR3"/>
    <mergeCell ref="AS2:AS3"/>
  </mergeCells>
  <conditionalFormatting sqref="I4:AM4">
    <cfRule type="cellIs" dxfId="2" priority="50" operator="equal">
      <formula>"休"</formula>
    </cfRule>
    <cfRule type="cellIs" dxfId="3" priority="49" operator="equal">
      <formula>"休"</formula>
    </cfRule>
    <cfRule type="cellIs" dxfId="4" priority="48" operator="equal">
      <formula>"休"</formula>
    </cfRule>
    <cfRule type="cellIs" dxfId="5" priority="47" operator="equal">
      <formula>"事"</formula>
    </cfRule>
    <cfRule type="cellIs" dxfId="6" priority="46" operator="equal">
      <formula>"休"</formula>
    </cfRule>
    <cfRule type="cellIs" dxfId="7" priority="45" operator="equal">
      <formula>"休"</formula>
    </cfRule>
    <cfRule type="cellIs" dxfId="8" priority="44" operator="equal">
      <formula>"休"</formula>
    </cfRule>
    <cfRule type="cellIs" dxfId="9" priority="43" operator="equal">
      <formula>"事"</formula>
    </cfRule>
    <cfRule type="cellIs" dxfId="10" priority="41" operator="equal">
      <formula>"全"</formula>
    </cfRule>
    <cfRule type="cellIs" dxfId="11" priority="40" operator="equal">
      <formula>"全"</formula>
    </cfRule>
    <cfRule type="cellIs" dxfId="12" priority="39" operator="equal">
      <formula>"旷"</formula>
    </cfRule>
    <cfRule type="cellIs" dxfId="13" priority="38" operator="equal">
      <formula>"半天"</formula>
    </cfRule>
  </conditionalFormatting>
  <conditionalFormatting sqref="I4:AL4">
    <cfRule type="cellIs" dxfId="14" priority="42" operator="equal">
      <formula>"病"</formula>
    </cfRule>
  </conditionalFormatting>
  <conditionalFormatting sqref="I5:AM5">
    <cfRule type="cellIs" dxfId="14" priority="29" operator="equal">
      <formula>"病"</formula>
    </cfRule>
  </conditionalFormatting>
  <conditionalFormatting sqref="I6:AM6">
    <cfRule type="cellIs" dxfId="14" priority="28" operator="equal">
      <formula>"病"</formula>
    </cfRule>
  </conditionalFormatting>
  <conditionalFormatting sqref="I9:AM9">
    <cfRule type="cellIs" dxfId="14" priority="27" operator="equal">
      <formula>"病"</formula>
    </cfRule>
  </conditionalFormatting>
  <conditionalFormatting sqref="I10:AM10">
    <cfRule type="cellIs" dxfId="14" priority="26" operator="equal">
      <formula>"病"</formula>
    </cfRule>
  </conditionalFormatting>
  <conditionalFormatting sqref="I12:AF12">
    <cfRule type="cellIs" dxfId="14" priority="24" operator="equal">
      <formula>"病"</formula>
    </cfRule>
  </conditionalFormatting>
  <conditionalFormatting sqref="I13:AF13">
    <cfRule type="cellIs" dxfId="14" priority="23" operator="equal">
      <formula>"病"</formula>
    </cfRule>
  </conditionalFormatting>
  <conditionalFormatting sqref="I14:AF14">
    <cfRule type="cellIs" dxfId="14" priority="22" operator="equal">
      <formula>"病"</formula>
    </cfRule>
  </conditionalFormatting>
  <conditionalFormatting sqref="I15:AF15">
    <cfRule type="cellIs" dxfId="14" priority="21" operator="equal">
      <formula>"病"</formula>
    </cfRule>
  </conditionalFormatting>
  <conditionalFormatting sqref="I2:AM3">
    <cfRule type="expression" dxfId="15" priority="16">
      <formula>WEEKDAY($I2,2)&gt;5</formula>
    </cfRule>
  </conditionalFormatting>
  <conditionalFormatting sqref="I4:AM8">
    <cfRule type="cellIs" dxfId="6" priority="11" operator="equal">
      <formula>"休"</formula>
    </cfRule>
    <cfRule type="cellIs" dxfId="7" priority="10" operator="equal">
      <formula>"休"</formula>
    </cfRule>
    <cfRule type="cellIs" dxfId="8" priority="9" operator="equal">
      <formula>"休"</formula>
    </cfRule>
    <cfRule type="cellIs" dxfId="9" priority="8" operator="equal">
      <formula>"事"</formula>
    </cfRule>
    <cfRule type="cellIs" dxfId="11" priority="5" operator="equal">
      <formula>"全"</formula>
    </cfRule>
    <cfRule type="cellIs" dxfId="12" priority="4" operator="equal">
      <formula>"旷"</formula>
    </cfRule>
    <cfRule type="cellIs" dxfId="13" priority="3" operator="equal">
      <formula>"半天"</formula>
    </cfRule>
  </conditionalFormatting>
  <conditionalFormatting sqref="I4:AM7 I8:AL8">
    <cfRule type="cellIs" dxfId="14" priority="7" operator="equal">
      <formula>"病"</formula>
    </cfRule>
  </conditionalFormatting>
  <conditionalFormatting sqref="I4:AM15">
    <cfRule type="containsText" dxfId="16" priority="2" operator="between" text="年">
      <formula>NOT(ISERROR(SEARCH("年",I4)))</formula>
    </cfRule>
    <cfRule type="containsText" dxfId="17" priority="1" operator="between" text="3h">
      <formula>NOT(ISERROR(SEARCH("3h",I4)))</formula>
    </cfRule>
  </conditionalFormatting>
  <conditionalFormatting sqref="I5:AM6 I9:AM15">
    <cfRule type="cellIs" dxfId="2" priority="37" operator="equal">
      <formula>"休"</formula>
    </cfRule>
    <cfRule type="cellIs" dxfId="3" priority="36" operator="equal">
      <formula>"休"</formula>
    </cfRule>
    <cfRule type="cellIs" dxfId="4" priority="35" operator="equal">
      <formula>"休"</formula>
    </cfRule>
    <cfRule type="cellIs" dxfId="5" priority="34" operator="equal">
      <formula>"事"</formula>
    </cfRule>
    <cfRule type="cellIs" dxfId="6" priority="33" operator="equal">
      <formula>"休"</formula>
    </cfRule>
    <cfRule type="cellIs" dxfId="7" priority="32" operator="equal">
      <formula>"休"</formula>
    </cfRule>
    <cfRule type="cellIs" dxfId="8" priority="31" operator="equal">
      <formula>"休"</formula>
    </cfRule>
    <cfRule type="cellIs" dxfId="9" priority="30" operator="equal">
      <formula>"事"</formula>
    </cfRule>
    <cfRule type="cellIs" dxfId="10" priority="20" operator="equal">
      <formula>"全"</formula>
    </cfRule>
    <cfRule type="cellIs" dxfId="11" priority="19" operator="equal">
      <formula>"全"</formula>
    </cfRule>
    <cfRule type="cellIs" dxfId="12" priority="18" operator="equal">
      <formula>"旷"</formula>
    </cfRule>
    <cfRule type="cellIs" dxfId="13" priority="17" operator="equal">
      <formula>"半天"</formula>
    </cfRule>
  </conditionalFormatting>
  <conditionalFormatting sqref="I7:AM8">
    <cfRule type="cellIs" dxfId="2" priority="15" operator="equal">
      <formula>"休"</formula>
    </cfRule>
    <cfRule type="cellIs" dxfId="3" priority="14" operator="equal">
      <formula>"休"</formula>
    </cfRule>
    <cfRule type="cellIs" dxfId="4" priority="13" operator="equal">
      <formula>"休"</formula>
    </cfRule>
    <cfRule type="cellIs" dxfId="5" priority="12" operator="equal">
      <formula>"事"</formula>
    </cfRule>
    <cfRule type="cellIs" dxfId="10" priority="6" operator="equal">
      <formula>"全"</formula>
    </cfRule>
  </conditionalFormatting>
  <conditionalFormatting sqref="I11:AM11 AG12:AM15">
    <cfRule type="cellIs" dxfId="14" priority="25" operator="equal">
      <formula>"病"</formula>
    </cfRule>
  </conditionalFormatting>
  <dataValidations count="1">
    <dataValidation type="list" allowBlank="1" showInputMessage="1" showErrorMessage="1" sqref="I4:S4 T4:AC4 AD4:AM4 I5:AA5 AB5:AE5 AF5:AM5 I6:AB6 AC6:AE6 AF6:AM6 I7:AE7 AF7:AM7 I8:AM8 I9:AI9 AJ9:AM9 I10:AF10 AG10:AI10 AJ10:AM10 I11:AF11 I12:AF15 AG11:AM15">
      <formula1>"A,B,C,休,事,旷,半天,年,婚,病,全,丧,3h"</formula1>
    </dataValidation>
  </dataValidations>
  <pageMargins left="0.75" right="0.75" top="1" bottom="1" header="0.5" footer="0.5"/>
  <headerFooter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name="Spinner 1" r:id="rId4">
              <controlPr defaultSize="0">
                <anchor moveWithCells="1">
                  <from>
                    <xdr:col>1</xdr:col>
                    <xdr:colOff>542925</xdr:colOff>
                    <xdr:row>1</xdr:row>
                    <xdr:rowOff>19050</xdr:rowOff>
                  </from>
                  <to>
                    <xdr:col>2</xdr:col>
                    <xdr:colOff>104775</xdr:colOff>
                    <xdr:row>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name="Spinner 2" r:id="rId5">
              <controlPr defaultSize="0">
                <anchor moveWithCells="1">
                  <from>
                    <xdr:col>3</xdr:col>
                    <xdr:colOff>333375</xdr:colOff>
                    <xdr:row>1</xdr:row>
                    <xdr:rowOff>28575</xdr:rowOff>
                  </from>
                  <to>
                    <xdr:col>4</xdr:col>
                    <xdr:colOff>95250</xdr:colOff>
                    <xdr:row>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name="Spinner 3" r:id="rId6">
              <controlPr defaultSize="0">
                <anchor moveWithCells="1">
                  <from>
                    <xdr:col>1</xdr:col>
                    <xdr:colOff>542925</xdr:colOff>
                    <xdr:row>1</xdr:row>
                    <xdr:rowOff>19050</xdr:rowOff>
                  </from>
                  <to>
                    <xdr:col>2</xdr:col>
                    <xdr:colOff>104775</xdr:colOff>
                    <xdr:row>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name="Spinner 4" r:id="rId7">
              <controlPr defaultSize="0">
                <anchor moveWithCells="1">
                  <from>
                    <xdr:col>3</xdr:col>
                    <xdr:colOff>333375</xdr:colOff>
                    <xdr:row>1</xdr:row>
                    <xdr:rowOff>28575</xdr:rowOff>
                  </from>
                  <to>
                    <xdr:col>4</xdr:col>
                    <xdr:colOff>95250</xdr:colOff>
                    <xdr:row>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name="Spinner 5" r:id="rId8">
              <controlPr defaultSize="0">
                <anchor moveWithCells="1">
                  <from>
                    <xdr:col>1</xdr:col>
                    <xdr:colOff>542925</xdr:colOff>
                    <xdr:row>1</xdr:row>
                    <xdr:rowOff>19050</xdr:rowOff>
                  </from>
                  <to>
                    <xdr:col>2</xdr:col>
                    <xdr:colOff>104775</xdr:colOff>
                    <xdr:row>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name="Spinner 6" r:id="rId9">
              <controlPr defaultSize="0">
                <anchor moveWithCells="1">
                  <from>
                    <xdr:col>3</xdr:col>
                    <xdr:colOff>333375</xdr:colOff>
                    <xdr:row>1</xdr:row>
                    <xdr:rowOff>28575</xdr:rowOff>
                  </from>
                  <to>
                    <xdr:col>4</xdr:col>
                    <xdr:colOff>95250</xdr:colOff>
                    <xdr:row>2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店面工资核算表</vt:lpstr>
      <vt:lpstr>店长+技师老师提成</vt:lpstr>
      <vt:lpstr>考勤表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由此星生</cp:lastModifiedBy>
  <dcterms:created xsi:type="dcterms:W3CDTF">2023-05-12T11:15:00Z</dcterms:created>
  <dcterms:modified xsi:type="dcterms:W3CDTF">2024-01-10T08:02:04Z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D6FC19BBFDE545B7B6EC32082A47BC1C_12</vt:lpwstr>
  </property>
  <property fmtid="{D5CDD505-2E9C-101B-9397-08002B2CF9AE}" pid="4" name="KSOReadingLayout">
    <vt:bool>true</vt:bool>
  </property>
</Properties>
</file>