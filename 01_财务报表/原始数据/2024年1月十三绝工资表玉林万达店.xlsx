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even/Downloads/"/>
    </mc:Choice>
  </mc:AlternateContent>
  <xr:revisionPtr revIDLastSave="0" documentId="13_ncr:1_{6BDE719D-BED0-6C4B-8BC6-782E2CFF3C5F}" xr6:coauthVersionLast="47" xr6:coauthVersionMax="47" xr10:uidLastSave="{00000000-0000-0000-0000-000000000000}"/>
  <bookViews>
    <workbookView xWindow="0" yWindow="500" windowWidth="49600" windowHeight="25160" xr2:uid="{00000000-000D-0000-FFFF-FFFF00000000}"/>
  </bookViews>
  <sheets>
    <sheet name="店面工资核算表" sheetId="1" r:id="rId1"/>
    <sheet name="店长+技师老师提成" sheetId="3" r:id="rId2"/>
  </sheets>
  <definedNames>
    <definedName name="_xlnm._FilterDatabase" localSheetId="0" hidden="1">店面工资核算表!$A$2:$E$21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3" l="1"/>
  <c r="M6" i="3"/>
  <c r="L6" i="3"/>
  <c r="K6" i="3"/>
  <c r="H6" i="3"/>
  <c r="N5" i="3"/>
  <c r="K5" i="3"/>
  <c r="J5" i="3"/>
  <c r="H5" i="3"/>
  <c r="G5" i="3"/>
  <c r="N4" i="3"/>
  <c r="K4" i="3"/>
  <c r="J4" i="3"/>
  <c r="H4" i="3"/>
  <c r="G4" i="3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AT20" i="1"/>
  <c r="AK20" i="1"/>
  <c r="V20" i="1"/>
  <c r="T20" i="1"/>
  <c r="S20" i="1"/>
  <c r="Q20" i="1"/>
  <c r="P20" i="1"/>
  <c r="N20" i="1"/>
  <c r="M20" i="1"/>
  <c r="K20" i="1"/>
  <c r="J20" i="1"/>
  <c r="AT19" i="1"/>
  <c r="AK19" i="1"/>
  <c r="V19" i="1"/>
  <c r="T19" i="1"/>
  <c r="S19" i="1"/>
  <c r="Q19" i="1"/>
  <c r="P19" i="1"/>
  <c r="N19" i="1"/>
  <c r="M19" i="1"/>
  <c r="K19" i="1"/>
  <c r="J19" i="1"/>
  <c r="I19" i="1"/>
  <c r="AT18" i="1"/>
  <c r="AK18" i="1"/>
  <c r="V18" i="1"/>
  <c r="T18" i="1"/>
  <c r="S18" i="1"/>
  <c r="Q18" i="1"/>
  <c r="P18" i="1"/>
  <c r="N18" i="1"/>
  <c r="M18" i="1"/>
  <c r="K18" i="1"/>
  <c r="J18" i="1"/>
  <c r="I18" i="1"/>
  <c r="AT17" i="1"/>
  <c r="AK17" i="1"/>
  <c r="V17" i="1"/>
  <c r="T17" i="1"/>
  <c r="S17" i="1"/>
  <c r="Q17" i="1"/>
  <c r="P17" i="1"/>
  <c r="N17" i="1"/>
  <c r="M17" i="1"/>
  <c r="K17" i="1"/>
  <c r="J17" i="1"/>
  <c r="AT16" i="1"/>
  <c r="AK16" i="1"/>
  <c r="V16" i="1"/>
  <c r="T16" i="1"/>
  <c r="S16" i="1"/>
  <c r="Q16" i="1"/>
  <c r="P16" i="1"/>
  <c r="N16" i="1"/>
  <c r="M16" i="1"/>
  <c r="K16" i="1"/>
  <c r="J16" i="1"/>
  <c r="AT15" i="1"/>
  <c r="AK15" i="1"/>
  <c r="W15" i="1"/>
  <c r="V15" i="1"/>
  <c r="T15" i="1"/>
  <c r="S15" i="1"/>
  <c r="Q15" i="1"/>
  <c r="P15" i="1"/>
  <c r="N15" i="1"/>
  <c r="M15" i="1"/>
  <c r="K15" i="1"/>
  <c r="J15" i="1"/>
  <c r="AT14" i="1"/>
  <c r="AK14" i="1"/>
  <c r="W14" i="1"/>
  <c r="V14" i="1"/>
  <c r="T14" i="1"/>
  <c r="S14" i="1"/>
  <c r="Q14" i="1"/>
  <c r="P14" i="1"/>
  <c r="N14" i="1"/>
  <c r="M14" i="1"/>
  <c r="K14" i="1"/>
  <c r="J14" i="1"/>
  <c r="AT13" i="1"/>
  <c r="AK13" i="1"/>
  <c r="V13" i="1"/>
  <c r="T13" i="1"/>
  <c r="S13" i="1"/>
  <c r="Q13" i="1"/>
  <c r="P13" i="1"/>
  <c r="N13" i="1"/>
  <c r="M13" i="1"/>
  <c r="K13" i="1"/>
  <c r="J13" i="1"/>
  <c r="AT12" i="1"/>
  <c r="AK12" i="1"/>
  <c r="Z12" i="1"/>
  <c r="V12" i="1"/>
  <c r="T12" i="1"/>
  <c r="S12" i="1"/>
  <c r="Q12" i="1"/>
  <c r="P12" i="1"/>
  <c r="N12" i="1"/>
  <c r="M12" i="1"/>
  <c r="K12" i="1"/>
  <c r="J12" i="1"/>
  <c r="I12" i="1"/>
  <c r="AT11" i="1"/>
  <c r="AK11" i="1"/>
  <c r="Z11" i="1"/>
  <c r="V11" i="1"/>
  <c r="T11" i="1"/>
  <c r="S11" i="1"/>
  <c r="Q11" i="1"/>
  <c r="P11" i="1"/>
  <c r="N11" i="1"/>
  <c r="M11" i="1"/>
  <c r="K11" i="1"/>
  <c r="J11" i="1"/>
  <c r="I11" i="1"/>
  <c r="AT10" i="1"/>
  <c r="AK10" i="1"/>
  <c r="V10" i="1"/>
  <c r="T10" i="1"/>
  <c r="S10" i="1"/>
  <c r="Q10" i="1"/>
  <c r="P10" i="1"/>
  <c r="N10" i="1"/>
  <c r="M10" i="1"/>
  <c r="K10" i="1"/>
  <c r="J10" i="1"/>
  <c r="AT9" i="1"/>
  <c r="AK9" i="1"/>
  <c r="V9" i="1"/>
  <c r="T9" i="1"/>
  <c r="S9" i="1"/>
  <c r="Q9" i="1"/>
  <c r="P9" i="1"/>
  <c r="N9" i="1"/>
  <c r="M9" i="1"/>
  <c r="K9" i="1"/>
  <c r="J9" i="1"/>
  <c r="AT8" i="1"/>
  <c r="AK8" i="1"/>
  <c r="V8" i="1"/>
  <c r="T8" i="1"/>
  <c r="S8" i="1"/>
  <c r="Q8" i="1"/>
  <c r="P8" i="1"/>
  <c r="N8" i="1"/>
  <c r="M8" i="1"/>
  <c r="K8" i="1"/>
  <c r="J8" i="1"/>
  <c r="AT7" i="1"/>
  <c r="AK7" i="1"/>
  <c r="V7" i="1"/>
  <c r="T7" i="1"/>
  <c r="S7" i="1"/>
  <c r="Q7" i="1"/>
  <c r="P7" i="1"/>
  <c r="N7" i="1"/>
  <c r="M7" i="1"/>
  <c r="K7" i="1"/>
  <c r="J7" i="1"/>
  <c r="AT6" i="1"/>
  <c r="AK6" i="1"/>
  <c r="V6" i="1"/>
  <c r="T6" i="1"/>
  <c r="S6" i="1"/>
  <c r="Q6" i="1"/>
  <c r="P6" i="1"/>
  <c r="N6" i="1"/>
  <c r="M6" i="1"/>
  <c r="K6" i="1"/>
  <c r="J6" i="1"/>
  <c r="AT5" i="1"/>
  <c r="AK5" i="1"/>
  <c r="V5" i="1"/>
  <c r="T5" i="1"/>
  <c r="S5" i="1"/>
  <c r="Q5" i="1"/>
  <c r="P5" i="1"/>
  <c r="N5" i="1"/>
  <c r="M5" i="1"/>
  <c r="K5" i="1"/>
  <c r="J5" i="1"/>
  <c r="AT4" i="1"/>
  <c r="AK4" i="1"/>
  <c r="V4" i="1"/>
  <c r="T4" i="1"/>
  <c r="S4" i="1"/>
  <c r="Q4" i="1"/>
  <c r="P4" i="1"/>
  <c r="N4" i="1"/>
  <c r="M4" i="1"/>
  <c r="K4" i="1"/>
  <c r="J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NING MEI</author>
  </authors>
  <commentList>
    <comment ref="W3" authorId="0" shapeId="0" xr:uid="{00000000-0006-0000-0000-000001000000}">
      <text>
        <r>
          <rPr>
            <sz val="9"/>
            <rFont val="宋体"/>
            <family val="3"/>
            <charset val="134"/>
          </rPr>
          <t>加班费</t>
        </r>
      </text>
    </comment>
    <comment ref="Z3" authorId="0" shapeId="0" xr:uid="{00000000-0006-0000-0000-000002000000}">
      <text>
        <r>
          <rPr>
            <sz val="9"/>
            <rFont val="宋体"/>
            <family val="3"/>
            <charset val="134"/>
          </rPr>
          <t>全勤奖、培训补贴</t>
        </r>
      </text>
    </comment>
    <comment ref="AA3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技师开卡金额是精英班奖励</t>
        </r>
      </text>
    </comment>
    <comment ref="AB3" authorId="1" shapeId="0" xr:uid="{00000000-0006-0000-0000-000004000000}">
      <text>
        <r>
          <rPr>
            <b/>
            <sz val="9"/>
            <rFont val="宋体"/>
            <family val="3"/>
            <charset val="134"/>
          </rPr>
          <t>NING MEI:</t>
        </r>
        <r>
          <rPr>
            <sz val="9"/>
            <rFont val="宋体"/>
            <family val="3"/>
            <charset val="134"/>
          </rPr>
          <t xml:space="preserve">
美团评价</t>
        </r>
      </text>
    </comment>
    <comment ref="AD3" authorId="1" shapeId="0" xr:uid="{00000000-0006-0000-0000-000005000000}">
      <text>
        <r>
          <rPr>
            <b/>
            <sz val="9"/>
            <rFont val="宋体"/>
            <family val="3"/>
            <charset val="134"/>
          </rPr>
          <t>NING MEI:</t>
        </r>
        <r>
          <rPr>
            <sz val="9"/>
            <rFont val="宋体"/>
            <family val="3"/>
            <charset val="134"/>
          </rPr>
          <t xml:space="preserve">
未达标包含：前台好评率
技师点客率、客诉、差评、点客率
</t>
        </r>
      </text>
    </comment>
    <comment ref="AE3" authorId="1" shapeId="0" xr:uid="{00000000-0006-0000-0000-000006000000}">
      <text>
        <r>
          <rPr>
            <b/>
            <sz val="9"/>
            <rFont val="宋体"/>
            <family val="3"/>
            <charset val="134"/>
          </rPr>
          <t>NING MEI:</t>
        </r>
        <r>
          <rPr>
            <sz val="9"/>
            <rFont val="宋体"/>
            <family val="3"/>
            <charset val="134"/>
          </rPr>
          <t xml:space="preserve">
未达标包含：前台好评率
技师点客率、客诉、差评、点客率
</t>
        </r>
      </text>
    </comment>
    <comment ref="W14" authorId="0" shapeId="0" xr:uid="{00000000-0006-0000-0000-000007000000}">
      <text>
        <r>
          <rPr>
            <sz val="9"/>
            <rFont val="宋体"/>
            <family val="3"/>
            <charset val="134"/>
          </rPr>
          <t>加班费150，全天班50</t>
        </r>
      </text>
    </comment>
    <comment ref="W15" authorId="0" shapeId="0" xr:uid="{00000000-0006-0000-0000-000008000000}">
      <text>
        <r>
          <rPr>
            <sz val="9"/>
            <rFont val="宋体"/>
            <family val="3"/>
            <charset val="134"/>
          </rPr>
          <t>加班费75，全天班50</t>
        </r>
      </text>
    </comment>
    <comment ref="W16" authorId="0" shapeId="0" xr:uid="{00000000-0006-0000-0000-000009000000}">
      <text>
        <r>
          <rPr>
            <sz val="9"/>
            <rFont val="宋体"/>
            <family val="3"/>
            <charset val="134"/>
          </rPr>
          <t xml:space="preserve">全天班50
</t>
        </r>
      </text>
    </comment>
  </commentList>
</comments>
</file>

<file path=xl/sharedStrings.xml><?xml version="1.0" encoding="utf-8"?>
<sst xmlns="http://schemas.openxmlformats.org/spreadsheetml/2006/main" count="121" uniqueCount="90">
  <si>
    <t>2024年1月十三绝玉林万达店人员工资</t>
  </si>
  <si>
    <t>序号</t>
  </si>
  <si>
    <t>姓名</t>
  </si>
  <si>
    <t>正式上钟日期</t>
  </si>
  <si>
    <t>所属店铺</t>
  </si>
  <si>
    <t>岗位</t>
  </si>
  <si>
    <t>应出勤天数</t>
  </si>
  <si>
    <t>实际出勤天数</t>
  </si>
  <si>
    <t>应发底薪</t>
  </si>
  <si>
    <t>实发底薪</t>
  </si>
  <si>
    <t>津贴</t>
  </si>
  <si>
    <t>总劳动业绩</t>
  </si>
  <si>
    <t>业绩提成</t>
  </si>
  <si>
    <t>开卡充值、套餐提成</t>
  </si>
  <si>
    <t>基础提成</t>
  </si>
  <si>
    <t>工资小计</t>
  </si>
  <si>
    <t>加福利补贴项：</t>
  </si>
  <si>
    <t>减津贴考核项：</t>
  </si>
  <si>
    <t>减其他补贴扣款明细：</t>
  </si>
  <si>
    <t>应发工资合计</t>
  </si>
  <si>
    <t>减公司代付代缴项</t>
  </si>
  <si>
    <t>减预支</t>
  </si>
  <si>
    <t>预留款</t>
  </si>
  <si>
    <t>实际发放</t>
  </si>
  <si>
    <t>备注</t>
  </si>
  <si>
    <t>指定业绩</t>
  </si>
  <si>
    <t>指定提成点</t>
  </si>
  <si>
    <t>指定提成</t>
  </si>
  <si>
    <t>非指定业绩</t>
  </si>
  <si>
    <t>非指定提成点</t>
  </si>
  <si>
    <t>非指定提成</t>
  </si>
  <si>
    <t>开卡总金额</t>
  </si>
  <si>
    <t>开卡提成点</t>
  </si>
  <si>
    <t>开卡提成</t>
  </si>
  <si>
    <t>加奖金</t>
  </si>
  <si>
    <t>加证书补贴</t>
  </si>
  <si>
    <t>加工龄补贴</t>
  </si>
  <si>
    <t>加岗位补贴</t>
  </si>
  <si>
    <t>加门店充值奖励</t>
  </si>
  <si>
    <t>加美团/抖音奖励</t>
  </si>
  <si>
    <t>减点客未达标</t>
  </si>
  <si>
    <t>减业绩未达标</t>
  </si>
  <si>
    <t>减充值未达标</t>
  </si>
  <si>
    <t>减好评未达标</t>
  </si>
  <si>
    <t>减差评客诉</t>
  </si>
  <si>
    <t>减请假/迟到</t>
  </si>
  <si>
    <t>其他扣补贴明细/未达标</t>
  </si>
  <si>
    <t>减绩效</t>
  </si>
  <si>
    <t>减餐费</t>
  </si>
  <si>
    <t>减水电物业</t>
  </si>
  <si>
    <t>减房费</t>
  </si>
  <si>
    <t>减社保</t>
  </si>
  <si>
    <t>减个税</t>
  </si>
  <si>
    <t>减工服</t>
  </si>
  <si>
    <t>李林</t>
  </si>
  <si>
    <t>玉林万达</t>
  </si>
  <si>
    <t>技师</t>
  </si>
  <si>
    <t>吕豪</t>
  </si>
  <si>
    <t>唐善连</t>
  </si>
  <si>
    <t>李敏</t>
  </si>
  <si>
    <t>梁锡模</t>
  </si>
  <si>
    <t>叶娟秀</t>
  </si>
  <si>
    <t>夏亚清</t>
  </si>
  <si>
    <t>邓玲</t>
  </si>
  <si>
    <t>谭庆彬</t>
  </si>
  <si>
    <t>庞宗媛</t>
  </si>
  <si>
    <t>店长</t>
  </si>
  <si>
    <t>陈思晓</t>
  </si>
  <si>
    <t>前台</t>
  </si>
  <si>
    <t>麦显银</t>
  </si>
  <si>
    <t>谢林君</t>
  </si>
  <si>
    <t>莫兰</t>
  </si>
  <si>
    <t>财务</t>
  </si>
  <si>
    <t>杨健坤</t>
  </si>
  <si>
    <t>保洁</t>
  </si>
  <si>
    <t>黄容</t>
  </si>
  <si>
    <t>十三绝2024年1月份店长提成</t>
  </si>
  <si>
    <t>入职日期</t>
  </si>
  <si>
    <t>利润奖励</t>
  </si>
  <si>
    <t>考核扣款项</t>
  </si>
  <si>
    <t>绩效汇总</t>
  </si>
  <si>
    <t>利润总额</t>
  </si>
  <si>
    <t>奖励点</t>
  </si>
  <si>
    <t>利润提成</t>
  </si>
  <si>
    <t>评分</t>
  </si>
  <si>
    <t>提成发放百分比</t>
  </si>
  <si>
    <t>实际利润提成</t>
  </si>
  <si>
    <t>减差评</t>
  </si>
  <si>
    <t>减客诉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</si>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</sst>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\-#,##0_ ;_ * &quot;-&quot;_ ;_ @_ "/>
    <numFmt numFmtId="178" formatCode="_ * #,##0.00_ ;_ * \-#,##0.00_ ;_ * &quot;-&quot;??_ ;_ @_ "/>
    <numFmt numFmtId="180" formatCode="0.00_ "/>
    <numFmt numFmtId="181" formatCode="yyyy/m/d;@"/>
    <numFmt numFmtId="182" formatCode="0.0_ "/>
    <numFmt numFmtId="183" formatCode="_ * #,##0.0_ ;_ * \-#,##0.0_ ;_ * &quot;-&quot;?_ ;_ @_ "/>
  </numFmts>
  <fonts count="34">
    <font>
      <sz val="11"/>
      <color theme="1"/>
      <name val="宋体"/>
      <charset val="134"/>
      <scheme val="minor"/>
    </font>
    <font>
      <sz val="11"/>
      <color theme="1"/>
      <name val="黑体"/>
      <family val="3"/>
      <charset val="134"/>
    </font>
    <font>
      <sz val="10"/>
      <color theme="1"/>
      <name val="宋体"/>
      <family val="3"/>
      <charset val="134"/>
      <scheme val="major"/>
    </font>
    <font>
      <b/>
      <sz val="18"/>
      <color theme="1"/>
      <name val="黑体"/>
      <family val="3"/>
      <charset val="134"/>
    </font>
    <font>
      <b/>
      <sz val="10"/>
      <color theme="0"/>
      <name val="宋体"/>
      <family val="3"/>
      <charset val="134"/>
      <scheme val="major"/>
    </font>
    <font>
      <sz val="10"/>
      <color theme="1"/>
      <name val="黑体"/>
      <family val="3"/>
      <charset val="134"/>
    </font>
    <font>
      <sz val="11"/>
      <color indexed="8"/>
      <name val="黑体"/>
      <family val="3"/>
      <charset val="134"/>
    </font>
    <font>
      <sz val="11"/>
      <color theme="9" tint="-0.249977111117893"/>
      <name val="黑体"/>
      <family val="3"/>
      <charset val="134"/>
    </font>
    <font>
      <sz val="9"/>
      <color theme="1"/>
      <name val="宋体"/>
      <family val="3"/>
      <charset val="134"/>
      <scheme val="minor"/>
    </font>
    <font>
      <sz val="11"/>
      <name val="黑体"/>
      <family val="3"/>
      <charset val="134"/>
    </font>
    <font>
      <sz val="11"/>
      <color theme="3"/>
      <name val="黑体"/>
      <family val="3"/>
      <charset val="134"/>
    </font>
    <font>
      <sz val="11"/>
      <color theme="4" tint="-0.249977111117893"/>
      <name val="黑体"/>
      <family val="3"/>
      <charset val="134"/>
    </font>
    <font>
      <sz val="11"/>
      <name val="宋体"/>
      <family val="3"/>
      <charset val="134"/>
      <scheme val="minor"/>
    </font>
    <font>
      <b/>
      <sz val="20"/>
      <color rgb="FF000000"/>
      <name val="黑体"/>
      <family val="3"/>
      <charset val="134"/>
    </font>
    <font>
      <b/>
      <sz val="20"/>
      <name val="黑体"/>
      <family val="3"/>
      <charset val="134"/>
    </font>
    <font>
      <b/>
      <sz val="10"/>
      <name val="宋体"/>
      <family val="3"/>
      <charset val="134"/>
    </font>
    <font>
      <b/>
      <sz val="9"/>
      <name val="宋体"/>
      <family val="3"/>
      <charset val="134"/>
    </font>
    <font>
      <b/>
      <sz val="9"/>
      <color rgb="FF000000"/>
      <name val="宋体"/>
      <family val="3"/>
      <charset val="134"/>
    </font>
    <font>
      <b/>
      <sz val="8"/>
      <color rgb="FF000000"/>
      <name val="宋体"/>
      <family val="3"/>
      <charset val="134"/>
    </font>
    <font>
      <b/>
      <sz val="10"/>
      <name val="黑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b/>
      <sz val="20"/>
      <color theme="3"/>
      <name val="黑体"/>
      <family val="3"/>
      <charset val="134"/>
    </font>
    <font>
      <b/>
      <sz val="10"/>
      <color theme="3"/>
      <name val="黑体"/>
      <family val="3"/>
      <charset val="134"/>
    </font>
    <font>
      <b/>
      <sz val="10"/>
      <color theme="4" tint="-0.249977111117893"/>
      <name val="黑体"/>
      <family val="3"/>
      <charset val="134"/>
    </font>
    <font>
      <b/>
      <sz val="20"/>
      <color theme="4" tint="-0.249977111117893"/>
      <name val="黑体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4"/>
      <color rgb="FF000000"/>
      <name val="黑体"/>
      <family val="3"/>
      <charset val="134"/>
    </font>
    <font>
      <b/>
      <sz val="6"/>
      <color rgb="FF000000"/>
      <name val="黑体"/>
      <family val="3"/>
      <charset val="134"/>
    </font>
    <font>
      <b/>
      <sz val="11"/>
      <name val="宋体"/>
      <family val="3"/>
      <charset val="134"/>
    </font>
    <font>
      <sz val="9"/>
      <color theme="1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2" fillId="0" borderId="0"/>
  </cellStyleXfs>
  <cellXfs count="1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" xfId="1" applyFont="1" applyFill="1" applyBorder="1" applyAlignment="1" applyProtection="1">
      <alignment horizontal="center" vertical="center" wrapText="1" shrinkToFit="1"/>
      <protection hidden="1"/>
    </xf>
    <xf numFmtId="180" fontId="4" fillId="3" borderId="3" xfId="1" applyNumberFormat="1" applyFont="1" applyFill="1" applyBorder="1" applyAlignment="1" applyProtection="1">
      <alignment horizontal="center" vertical="center" wrapText="1" shrinkToFit="1"/>
      <protection hidden="1"/>
    </xf>
    <xf numFmtId="180" fontId="4" fillId="3" borderId="1" xfId="1" applyNumberFormat="1" applyFont="1" applyFill="1" applyBorder="1" applyAlignment="1" applyProtection="1">
      <alignment horizontal="center" vertical="center" wrapText="1" shrinkToFit="1"/>
      <protection hidden="1"/>
    </xf>
    <xf numFmtId="0" fontId="4" fillId="3" borderId="1" xfId="1" applyFont="1" applyFill="1" applyBorder="1" applyAlignment="1" applyProtection="1">
      <alignment horizontal="center" vertical="center" wrapText="1" shrinkToFit="1"/>
      <protection hidden="1"/>
    </xf>
    <xf numFmtId="0" fontId="1" fillId="0" borderId="1" xfId="0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80" fontId="1" fillId="4" borderId="1" xfId="0" applyNumberFormat="1" applyFont="1" applyFill="1" applyBorder="1" applyAlignment="1">
      <alignment horizontal="center" vertical="center"/>
    </xf>
    <xf numFmtId="0" fontId="4" fillId="2" borderId="6" xfId="1" applyFont="1" applyFill="1" applyBorder="1" applyAlignment="1" applyProtection="1">
      <alignment horizontal="center" vertical="center" wrapText="1" shrinkToFit="1"/>
      <protection hidden="1"/>
    </xf>
    <xf numFmtId="0" fontId="7" fillId="0" borderId="1" xfId="0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8" fontId="9" fillId="0" borderId="0" xfId="0" applyNumberFormat="1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178" fontId="0" fillId="0" borderId="0" xfId="0" applyNumberFormat="1">
      <alignment vertical="center"/>
    </xf>
    <xf numFmtId="178" fontId="0" fillId="0" borderId="0" xfId="0" applyNumberFormat="1" applyAlignment="1">
      <alignment horizontal="center" vertical="center"/>
    </xf>
    <xf numFmtId="9" fontId="0" fillId="0" borderId="0" xfId="0" applyNumberForma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182" fontId="11" fillId="0" borderId="0" xfId="0" applyNumberFormat="1" applyFont="1">
      <alignment vertical="center"/>
    </xf>
    <xf numFmtId="0" fontId="0" fillId="0" borderId="0" xfId="0" applyAlignment="1">
      <alignment vertical="center" wrapText="1"/>
    </xf>
    <xf numFmtId="0" fontId="13" fillId="0" borderId="8" xfId="0" applyFont="1" applyBorder="1" applyAlignment="1">
      <alignment horizontal="center" vertical="center"/>
    </xf>
    <xf numFmtId="0" fontId="15" fillId="5" borderId="1" xfId="1" applyFont="1" applyFill="1" applyBorder="1" applyAlignment="1" applyProtection="1">
      <alignment horizontal="center" vertical="center" wrapText="1" shrinkToFit="1"/>
      <protection hidden="1"/>
    </xf>
    <xf numFmtId="0" fontId="16" fillId="5" borderId="1" xfId="1" applyFont="1" applyFill="1" applyBorder="1" applyAlignment="1" applyProtection="1">
      <alignment horizontal="center" vertical="center" wrapText="1" shrinkToFit="1"/>
      <protection hidden="1"/>
    </xf>
    <xf numFmtId="0" fontId="20" fillId="6" borderId="1" xfId="0" applyFont="1" applyFill="1" applyBorder="1" applyAlignment="1">
      <alignment horizontal="center" vertical="center"/>
    </xf>
    <xf numFmtId="178" fontId="20" fillId="0" borderId="1" xfId="0" applyNumberFormat="1" applyFont="1" applyBorder="1" applyAlignment="1">
      <alignment horizontal="center" vertical="center"/>
    </xf>
    <xf numFmtId="181" fontId="20" fillId="0" borderId="1" xfId="0" applyNumberFormat="1" applyFont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 wrapText="1"/>
    </xf>
    <xf numFmtId="176" fontId="20" fillId="0" borderId="1" xfId="0" applyNumberFormat="1" applyFont="1" applyBorder="1" applyAlignment="1">
      <alignment horizontal="center" vertical="center"/>
    </xf>
    <xf numFmtId="183" fontId="20" fillId="0" borderId="1" xfId="0" applyNumberFormat="1" applyFont="1" applyBorder="1" applyAlignment="1">
      <alignment horizontal="center" vertical="center"/>
    </xf>
    <xf numFmtId="181" fontId="20" fillId="7" borderId="1" xfId="0" applyNumberFormat="1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178" fontId="9" fillId="8" borderId="1" xfId="0" applyNumberFormat="1" applyFont="1" applyFill="1" applyBorder="1" applyAlignment="1">
      <alignment horizontal="center" vertical="center"/>
    </xf>
    <xf numFmtId="0" fontId="13" fillId="0" borderId="8" xfId="0" applyFont="1" applyBorder="1">
      <alignment vertical="center"/>
    </xf>
    <xf numFmtId="178" fontId="15" fillId="5" borderId="1" xfId="1" applyNumberFormat="1" applyFont="1" applyFill="1" applyBorder="1" applyAlignment="1" applyProtection="1">
      <alignment horizontal="center" vertical="center" wrapText="1" shrinkToFit="1"/>
      <protection hidden="1"/>
    </xf>
    <xf numFmtId="9" fontId="15" fillId="5" borderId="1" xfId="1" applyNumberFormat="1" applyFont="1" applyFill="1" applyBorder="1" applyAlignment="1" applyProtection="1">
      <alignment horizontal="center" vertical="center" wrapText="1" shrinkToFit="1"/>
      <protection hidden="1"/>
    </xf>
    <xf numFmtId="180" fontId="25" fillId="5" borderId="1" xfId="1" applyNumberFormat="1" applyFont="1" applyFill="1" applyBorder="1" applyAlignment="1" applyProtection="1">
      <alignment horizontal="center" vertical="center" wrapText="1" shrinkToFit="1"/>
      <protection hidden="1"/>
    </xf>
    <xf numFmtId="180" fontId="15" fillId="5" borderId="1" xfId="1" applyNumberFormat="1" applyFont="1" applyFill="1" applyBorder="1" applyAlignment="1" applyProtection="1">
      <alignment horizontal="center" vertical="center" wrapText="1" shrinkToFit="1"/>
      <protection hidden="1"/>
    </xf>
    <xf numFmtId="178" fontId="9" fillId="0" borderId="1" xfId="0" applyNumberFormat="1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9" fontId="20" fillId="0" borderId="1" xfId="0" applyNumberFormat="1" applyFont="1" applyBorder="1" applyAlignment="1">
      <alignment horizontal="center" vertical="center"/>
    </xf>
    <xf numFmtId="180" fontId="11" fillId="0" borderId="1" xfId="0" applyNumberFormat="1" applyFont="1" applyBorder="1" applyAlignment="1">
      <alignment horizontal="center" vertical="center"/>
    </xf>
    <xf numFmtId="9" fontId="20" fillId="0" borderId="1" xfId="0" applyNumberFormat="1" applyFont="1" applyBorder="1" applyAlignment="1">
      <alignment horizontal="right" vertical="center"/>
    </xf>
    <xf numFmtId="178" fontId="9" fillId="7" borderId="1" xfId="0" applyNumberFormat="1" applyFont="1" applyFill="1" applyBorder="1" applyAlignment="1">
      <alignment horizontal="center" vertical="center"/>
    </xf>
    <xf numFmtId="0" fontId="26" fillId="0" borderId="8" xfId="0" applyFont="1" applyBorder="1">
      <alignment vertical="center"/>
    </xf>
    <xf numFmtId="182" fontId="25" fillId="5" borderId="1" xfId="1" applyNumberFormat="1" applyFont="1" applyFill="1" applyBorder="1" applyAlignment="1" applyProtection="1">
      <alignment horizontal="center" vertical="center" wrapText="1" shrinkToFit="1"/>
      <protection hidden="1"/>
    </xf>
    <xf numFmtId="0" fontId="15" fillId="5" borderId="3" xfId="1" applyFont="1" applyFill="1" applyBorder="1" applyAlignment="1" applyProtection="1">
      <alignment horizontal="center" vertical="center" wrapText="1" shrinkToFit="1"/>
      <protection hidden="1"/>
    </xf>
    <xf numFmtId="180" fontId="11" fillId="0" borderId="1" xfId="0" applyNumberFormat="1" applyFont="1" applyBorder="1" applyAlignment="1">
      <alignment horizontal="right" vertical="center"/>
    </xf>
    <xf numFmtId="0" fontId="20" fillId="0" borderId="1" xfId="0" applyFont="1" applyBorder="1" applyAlignment="1">
      <alignment horizontal="center" vertical="center"/>
    </xf>
    <xf numFmtId="180" fontId="9" fillId="9" borderId="1" xfId="0" applyNumberFormat="1" applyFont="1" applyFill="1" applyBorder="1" applyAlignment="1">
      <alignment horizontal="right" vertical="center"/>
    </xf>
    <xf numFmtId="180" fontId="27" fillId="0" borderId="0" xfId="0" applyNumberFormat="1" applyFont="1">
      <alignment vertical="center"/>
    </xf>
    <xf numFmtId="180" fontId="8" fillId="0" borderId="0" xfId="0" applyNumberFormat="1" applyFont="1">
      <alignment vertical="center"/>
    </xf>
    <xf numFmtId="0" fontId="28" fillId="0" borderId="8" xfId="0" applyFont="1" applyBorder="1">
      <alignment vertical="center"/>
    </xf>
    <xf numFmtId="10" fontId="29" fillId="0" borderId="8" xfId="0" applyNumberFormat="1" applyFont="1" applyBorder="1" applyAlignment="1">
      <alignment horizontal="center" vertical="center"/>
    </xf>
    <xf numFmtId="182" fontId="16" fillId="5" borderId="1" xfId="0" applyNumberFormat="1" applyFont="1" applyFill="1" applyBorder="1" applyAlignment="1" applyProtection="1">
      <alignment horizontal="center" vertical="center" wrapText="1" shrinkToFit="1"/>
      <protection hidden="1"/>
    </xf>
    <xf numFmtId="182" fontId="15" fillId="5" borderId="1" xfId="1" applyNumberFormat="1" applyFont="1" applyFill="1" applyBorder="1" applyAlignment="1" applyProtection="1">
      <alignment horizontal="center" vertical="center" wrapText="1" shrinkToFit="1"/>
      <protection hidden="1"/>
    </xf>
    <xf numFmtId="178" fontId="9" fillId="10" borderId="1" xfId="0" applyNumberFormat="1" applyFont="1" applyFill="1" applyBorder="1">
      <alignment vertical="center"/>
    </xf>
    <xf numFmtId="58" fontId="0" fillId="0" borderId="0" xfId="0" applyNumberFormat="1">
      <alignment vertical="center"/>
    </xf>
    <xf numFmtId="0" fontId="13" fillId="0" borderId="9" xfId="0" applyFont="1" applyBorder="1">
      <alignment vertical="center"/>
    </xf>
    <xf numFmtId="0" fontId="21" fillId="0" borderId="1" xfId="0" applyFont="1" applyBorder="1" applyAlignment="1">
      <alignment vertical="center" wrapText="1"/>
    </xf>
    <xf numFmtId="0" fontId="21" fillId="0" borderId="1" xfId="0" applyFont="1" applyBorder="1" applyAlignment="1">
      <alignment horizontal="left" vertical="center" wrapText="1"/>
    </xf>
    <xf numFmtId="0" fontId="31" fillId="8" borderId="1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78" fontId="14" fillId="0" borderId="8" xfId="0" applyNumberFormat="1" applyFont="1" applyBorder="1" applyAlignment="1">
      <alignment horizontal="center" vertical="center"/>
    </xf>
    <xf numFmtId="178" fontId="23" fillId="0" borderId="8" xfId="0" applyNumberFormat="1" applyFont="1" applyBorder="1" applyAlignment="1">
      <alignment horizontal="center" vertical="center"/>
    </xf>
    <xf numFmtId="178" fontId="13" fillId="0" borderId="8" xfId="0" applyNumberFormat="1" applyFont="1" applyBorder="1" applyAlignment="1">
      <alignment horizontal="center" vertical="center"/>
    </xf>
    <xf numFmtId="9" fontId="13" fillId="0" borderId="8" xfId="0" applyNumberFormat="1" applyFont="1" applyBorder="1" applyAlignment="1">
      <alignment horizontal="center" vertical="center"/>
    </xf>
    <xf numFmtId="178" fontId="15" fillId="5" borderId="1" xfId="1" applyNumberFormat="1" applyFont="1" applyFill="1" applyBorder="1" applyAlignment="1" applyProtection="1">
      <alignment horizontal="center" vertical="center" wrapText="1" shrinkToFit="1"/>
      <protection hidden="1"/>
    </xf>
    <xf numFmtId="9" fontId="15" fillId="5" borderId="1" xfId="1" applyNumberFormat="1" applyFont="1" applyFill="1" applyBorder="1" applyAlignment="1" applyProtection="1">
      <alignment horizontal="center" vertical="center" wrapText="1" shrinkToFit="1"/>
      <protection hidden="1"/>
    </xf>
    <xf numFmtId="180" fontId="25" fillId="5" borderId="1" xfId="1" applyNumberFormat="1" applyFont="1" applyFill="1" applyBorder="1" applyAlignment="1" applyProtection="1">
      <alignment horizontal="center" vertical="center" wrapText="1" shrinkToFit="1"/>
      <protection hidden="1"/>
    </xf>
    <xf numFmtId="180" fontId="15" fillId="5" borderId="1" xfId="1" applyNumberFormat="1" applyFont="1" applyFill="1" applyBorder="1" applyAlignment="1" applyProtection="1">
      <alignment horizontal="center" vertical="center" wrapText="1" shrinkToFit="1"/>
      <protection hidden="1"/>
    </xf>
    <xf numFmtId="0" fontId="15" fillId="5" borderId="1" xfId="1" applyFont="1" applyFill="1" applyBorder="1" applyAlignment="1" applyProtection="1">
      <alignment horizontal="center" vertical="center" wrapText="1" shrinkToFit="1"/>
      <protection hidden="1"/>
    </xf>
    <xf numFmtId="182" fontId="25" fillId="5" borderId="1" xfId="1" applyNumberFormat="1" applyFont="1" applyFill="1" applyBorder="1" applyAlignment="1" applyProtection="1">
      <alignment horizontal="center" vertical="center" wrapText="1" shrinkToFit="1"/>
      <protection hidden="1"/>
    </xf>
    <xf numFmtId="0" fontId="15" fillId="5" borderId="3" xfId="1" applyFont="1" applyFill="1" applyBorder="1" applyAlignment="1" applyProtection="1">
      <alignment horizontal="center" vertical="center" wrapText="1" shrinkToFit="1"/>
      <protection hidden="1"/>
    </xf>
    <xf numFmtId="0" fontId="15" fillId="5" borderId="4" xfId="1" applyFont="1" applyFill="1" applyBorder="1" applyAlignment="1" applyProtection="1">
      <alignment horizontal="center" vertical="center" wrapText="1" shrinkToFit="1"/>
      <protection hidden="1"/>
    </xf>
    <xf numFmtId="0" fontId="15" fillId="5" borderId="6" xfId="1" applyFont="1" applyFill="1" applyBorder="1" applyAlignment="1" applyProtection="1">
      <alignment horizontal="center" vertical="center" wrapText="1" shrinkToFit="1"/>
      <protection hidden="1"/>
    </xf>
    <xf numFmtId="180" fontId="30" fillId="5" borderId="3" xfId="1" applyNumberFormat="1" applyFont="1" applyFill="1" applyBorder="1" applyAlignment="1" applyProtection="1">
      <alignment horizontal="center" vertical="center" wrapText="1" shrinkToFit="1"/>
      <protection hidden="1"/>
    </xf>
    <xf numFmtId="180" fontId="30" fillId="5" borderId="4" xfId="1" applyNumberFormat="1" applyFont="1" applyFill="1" applyBorder="1" applyAlignment="1" applyProtection="1">
      <alignment horizontal="center" vertical="center" wrapText="1" shrinkToFit="1"/>
      <protection hidden="1"/>
    </xf>
    <xf numFmtId="180" fontId="30" fillId="5" borderId="6" xfId="1" applyNumberFormat="1" applyFont="1" applyFill="1" applyBorder="1" applyAlignment="1" applyProtection="1">
      <alignment horizontal="center" vertical="center" wrapText="1" shrinkToFit="1"/>
      <protection hidden="1"/>
    </xf>
    <xf numFmtId="180" fontId="30" fillId="5" borderId="1" xfId="1" applyNumberFormat="1" applyFont="1" applyFill="1" applyBorder="1" applyAlignment="1" applyProtection="1">
      <alignment horizontal="center" vertical="center" wrapText="1" shrinkToFit="1"/>
      <protection hidden="1"/>
    </xf>
    <xf numFmtId="0" fontId="16" fillId="5" borderId="1" xfId="1" applyFont="1" applyFill="1" applyBorder="1" applyAlignment="1" applyProtection="1">
      <alignment horizontal="center" vertical="center" wrapText="1" shrinkToFit="1"/>
      <protection hidden="1"/>
    </xf>
    <xf numFmtId="0" fontId="17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 applyProtection="1">
      <alignment horizontal="center" vertical="center" wrapText="1" shrinkToFit="1"/>
      <protection hidden="1"/>
    </xf>
    <xf numFmtId="178" fontId="19" fillId="5" borderId="1" xfId="1" applyNumberFormat="1" applyFont="1" applyFill="1" applyBorder="1" applyAlignment="1" applyProtection="1">
      <alignment horizontal="center" vertical="center" wrapText="1" shrinkToFit="1"/>
      <protection hidden="1"/>
    </xf>
    <xf numFmtId="178" fontId="19" fillId="5" borderId="2" xfId="1" applyNumberFormat="1" applyFont="1" applyFill="1" applyBorder="1" applyAlignment="1" applyProtection="1">
      <alignment horizontal="center" vertical="center" wrapText="1" shrinkToFit="1"/>
      <protection hidden="1"/>
    </xf>
    <xf numFmtId="178" fontId="19" fillId="5" borderId="5" xfId="1" applyNumberFormat="1" applyFont="1" applyFill="1" applyBorder="1" applyAlignment="1" applyProtection="1">
      <alignment horizontal="center" vertical="center" wrapText="1" shrinkToFit="1"/>
      <protection hidden="1"/>
    </xf>
    <xf numFmtId="178" fontId="24" fillId="5" borderId="1" xfId="1" applyNumberFormat="1" applyFont="1" applyFill="1" applyBorder="1" applyAlignment="1" applyProtection="1">
      <alignment horizontal="center" vertical="center" wrapText="1" shrinkToFit="1"/>
      <protection hidden="1"/>
    </xf>
    <xf numFmtId="0" fontId="25" fillId="5" borderId="1" xfId="1" applyFont="1" applyFill="1" applyBorder="1" applyAlignment="1" applyProtection="1">
      <alignment horizontal="center" vertical="center" wrapText="1" shrinkToFit="1"/>
      <protection hidden="1"/>
    </xf>
    <xf numFmtId="180" fontId="19" fillId="5" borderId="1" xfId="1" applyNumberFormat="1" applyFont="1" applyFill="1" applyBorder="1" applyAlignment="1" applyProtection="1">
      <alignment horizontal="center" vertical="center" wrapText="1" shrinkToFit="1"/>
      <protection hidden="1"/>
    </xf>
    <xf numFmtId="180" fontId="19" fillId="5" borderId="6" xfId="1" applyNumberFormat="1" applyFont="1" applyFill="1" applyBorder="1" applyAlignment="1" applyProtection="1">
      <alignment horizontal="center" vertical="center" wrapText="1" shrinkToFit="1"/>
      <protection hidden="1"/>
    </xf>
    <xf numFmtId="0" fontId="16" fillId="5" borderId="1" xfId="0" applyFont="1" applyFill="1" applyBorder="1" applyAlignment="1" applyProtection="1">
      <alignment horizontal="center" vertical="center" wrapText="1" shrinkToFit="1"/>
      <protection hidden="1"/>
    </xf>
    <xf numFmtId="0" fontId="3" fillId="0" borderId="0" xfId="0" applyFont="1" applyAlignment="1">
      <alignment horizontal="center" vertical="center"/>
    </xf>
    <xf numFmtId="180" fontId="4" fillId="3" borderId="3" xfId="1" applyNumberFormat="1" applyFont="1" applyFill="1" applyBorder="1" applyAlignment="1" applyProtection="1">
      <alignment horizontal="center" vertical="center" wrapText="1" shrinkToFit="1"/>
      <protection hidden="1"/>
    </xf>
    <xf numFmtId="180" fontId="4" fillId="3" borderId="4" xfId="1" applyNumberFormat="1" applyFont="1" applyFill="1" applyBorder="1" applyAlignment="1" applyProtection="1">
      <alignment horizontal="center" vertical="center" wrapText="1" shrinkToFit="1"/>
      <protection hidden="1"/>
    </xf>
    <xf numFmtId="0" fontId="4" fillId="2" borderId="4" xfId="1" applyFont="1" applyFill="1" applyBorder="1" applyAlignment="1" applyProtection="1">
      <alignment horizontal="center" vertical="center" wrapText="1" shrinkToFit="1"/>
      <protection hidden="1"/>
    </xf>
    <xf numFmtId="0" fontId="4" fillId="2" borderId="1" xfId="1" applyFont="1" applyFill="1" applyBorder="1" applyAlignment="1" applyProtection="1">
      <alignment horizontal="center" vertical="center" wrapText="1" shrinkToFit="1"/>
      <protection hidden="1"/>
    </xf>
    <xf numFmtId="0" fontId="4" fillId="2" borderId="2" xfId="1" applyFont="1" applyFill="1" applyBorder="1" applyAlignment="1" applyProtection="1">
      <alignment horizontal="center" vertical="center" wrapText="1" shrinkToFit="1"/>
      <protection hidden="1"/>
    </xf>
    <xf numFmtId="0" fontId="4" fillId="2" borderId="5" xfId="1" applyFont="1" applyFill="1" applyBorder="1" applyAlignment="1" applyProtection="1">
      <alignment horizontal="center" vertical="center" wrapText="1" shrinkToFit="1"/>
      <protection hidden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80" fontId="4" fillId="2" borderId="1" xfId="1" applyNumberFormat="1" applyFont="1" applyFill="1" applyBorder="1" applyAlignment="1" applyProtection="1">
      <alignment horizontal="center" vertical="center" wrapText="1" shrinkToFit="1"/>
      <protection hidden="1"/>
    </xf>
  </cellXfs>
  <cellStyles count="2">
    <cellStyle name="常规" xfId="0" builtinId="0"/>
    <cellStyle name="常规_Sheet1" xfId="1" xr:uid="{00000000-0005-0000-0000-000031000000}"/>
  </cellStyles>
  <dxfs count="2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V24"/>
  <sheetViews>
    <sheetView tabSelected="1" workbookViewId="0">
      <pane xSplit="2" ySplit="3" topLeftCell="C10" activePane="bottomRight" state="frozen"/>
      <selection pane="topRight"/>
      <selection pane="bottomLeft"/>
      <selection pane="bottomRight" activeCell="K16" sqref="K16"/>
    </sheetView>
  </sheetViews>
  <sheetFormatPr baseColWidth="10" defaultColWidth="9" defaultRowHeight="14" outlineLevelRow="1"/>
  <cols>
    <col min="1" max="1" width="4.1640625" style="3" customWidth="1"/>
    <col min="2" max="2" width="7" style="3" customWidth="1"/>
    <col min="3" max="3" width="12.5" style="3" customWidth="1"/>
    <col min="4" max="4" width="8.5" style="19" customWidth="1"/>
    <col min="5" max="5" width="7.1640625" style="19" customWidth="1"/>
    <col min="6" max="6" width="8.1640625" customWidth="1"/>
    <col min="7" max="7" width="11.1640625" style="3" customWidth="1"/>
    <col min="8" max="9" width="12.6640625" style="20" customWidth="1"/>
    <col min="10" max="10" width="6.33203125" style="21" customWidth="1"/>
    <col min="11" max="11" width="13.83203125" style="22" customWidth="1"/>
    <col min="12" max="12" width="12.83203125" style="23" customWidth="1"/>
    <col min="13" max="13" width="6.33203125" style="24" customWidth="1"/>
    <col min="14" max="14" width="10.33203125" style="25" customWidth="1"/>
    <col min="15" max="15" width="12.33203125" style="3" customWidth="1"/>
    <col min="16" max="16" width="7.33203125" customWidth="1"/>
    <col min="17" max="17" width="12.1640625" style="26" customWidth="1"/>
    <col min="18" max="18" width="12.33203125" style="27" customWidth="1"/>
    <col min="19" max="19" width="7.6640625" customWidth="1"/>
    <col min="20" max="20" width="10.33203125" style="28" customWidth="1"/>
    <col min="21" max="21" width="15.6640625" style="25" customWidth="1"/>
    <col min="22" max="22" width="17.33203125" customWidth="1"/>
    <col min="23" max="23" width="10.6640625" style="3" customWidth="1"/>
    <col min="24" max="25" width="6.33203125" style="3" customWidth="1"/>
    <col min="26" max="26" width="9.33203125" style="3" customWidth="1"/>
    <col min="27" max="27" width="12.1640625" style="3" customWidth="1"/>
    <col min="28" max="28" width="11" style="3" customWidth="1"/>
    <col min="29" max="29" width="6.33203125" customWidth="1"/>
    <col min="30" max="30" width="6.33203125" style="3" customWidth="1"/>
    <col min="31" max="31" width="7.1640625" style="3" customWidth="1"/>
    <col min="32" max="32" width="8.83203125" style="3" customWidth="1"/>
    <col min="33" max="33" width="6.33203125" customWidth="1"/>
    <col min="34" max="34" width="8.33203125" style="3" customWidth="1"/>
    <col min="35" max="35" width="9.6640625" customWidth="1"/>
    <col min="36" max="36" width="6.33203125" style="3" customWidth="1"/>
    <col min="37" max="37" width="12.6640625" customWidth="1"/>
    <col min="38" max="38" width="11" style="3" customWidth="1"/>
    <col min="39" max="39" width="6.33203125" style="3" customWidth="1"/>
    <col min="40" max="40" width="9.33203125" style="3" customWidth="1"/>
    <col min="41" max="41" width="6.33203125" customWidth="1"/>
    <col min="42" max="42" width="6.33203125" style="3" customWidth="1"/>
    <col min="43" max="43" width="12.1640625" style="3" customWidth="1"/>
    <col min="44" max="44" width="6.33203125" style="3" customWidth="1"/>
    <col min="45" max="45" width="12.83203125" style="3" customWidth="1"/>
    <col min="46" max="46" width="12.6640625" customWidth="1"/>
    <col min="47" max="47" width="3.83203125" style="29" customWidth="1"/>
    <col min="48" max="48" width="13.83203125" customWidth="1"/>
    <col min="49" max="49" width="12.6640625"/>
  </cols>
  <sheetData>
    <row r="1" spans="1:47" ht="36" customHeight="1">
      <c r="A1" s="71" t="s">
        <v>0</v>
      </c>
      <c r="B1" s="72"/>
      <c r="C1" s="72"/>
      <c r="D1" s="72"/>
      <c r="E1" s="72"/>
      <c r="F1" s="72"/>
      <c r="G1" s="72"/>
      <c r="H1" s="73"/>
      <c r="I1" s="73"/>
      <c r="J1" s="74"/>
      <c r="K1" s="75"/>
      <c r="L1" s="75"/>
      <c r="M1" s="76"/>
      <c r="N1" s="72"/>
      <c r="O1" s="30"/>
      <c r="P1" s="42"/>
      <c r="Q1" s="42"/>
      <c r="R1" s="42"/>
      <c r="S1" s="42"/>
      <c r="T1" s="53"/>
      <c r="U1" s="53"/>
      <c r="V1" s="42"/>
      <c r="W1" s="30"/>
      <c r="X1" s="30"/>
      <c r="Y1" s="42"/>
      <c r="Z1" s="42"/>
      <c r="AA1" s="61"/>
      <c r="AB1" s="62"/>
      <c r="AC1" s="42"/>
      <c r="AD1" s="30"/>
      <c r="AE1" s="30"/>
      <c r="AF1" s="30"/>
      <c r="AG1" s="42"/>
      <c r="AH1" s="30"/>
      <c r="AI1" s="42"/>
      <c r="AJ1" s="30"/>
      <c r="AK1" s="42"/>
      <c r="AL1" s="42"/>
      <c r="AM1" s="30"/>
      <c r="AN1" s="30"/>
      <c r="AO1" s="42"/>
      <c r="AP1" s="42"/>
      <c r="AQ1" s="30"/>
      <c r="AR1" s="30"/>
      <c r="AS1" s="30"/>
      <c r="AT1" s="42"/>
      <c r="AU1" s="67"/>
    </row>
    <row r="2" spans="1:47" ht="19" customHeight="1">
      <c r="A2" s="81" t="s">
        <v>1</v>
      </c>
      <c r="B2" s="81" t="s">
        <v>2</v>
      </c>
      <c r="C2" s="81" t="s">
        <v>3</v>
      </c>
      <c r="D2" s="90" t="s">
        <v>4</v>
      </c>
      <c r="E2" s="91" t="s">
        <v>5</v>
      </c>
      <c r="F2" s="92" t="s">
        <v>6</v>
      </c>
      <c r="G2" s="93" t="s">
        <v>7</v>
      </c>
      <c r="H2" s="94" t="s">
        <v>8</v>
      </c>
      <c r="I2" s="95" t="s">
        <v>9</v>
      </c>
      <c r="J2" s="97" t="s">
        <v>10</v>
      </c>
      <c r="K2" s="77" t="s">
        <v>11</v>
      </c>
      <c r="L2" s="77" t="s">
        <v>12</v>
      </c>
      <c r="M2" s="78"/>
      <c r="N2" s="79"/>
      <c r="O2" s="80"/>
      <c r="P2" s="81"/>
      <c r="Q2" s="79"/>
      <c r="R2" s="81" t="s">
        <v>13</v>
      </c>
      <c r="S2" s="81"/>
      <c r="T2" s="82"/>
      <c r="U2" s="98" t="s">
        <v>14</v>
      </c>
      <c r="V2" s="99" t="s">
        <v>15</v>
      </c>
      <c r="W2" s="83" t="s">
        <v>16</v>
      </c>
      <c r="X2" s="84"/>
      <c r="Y2" s="84"/>
      <c r="Z2" s="84"/>
      <c r="AA2" s="84"/>
      <c r="AB2" s="85"/>
      <c r="AC2" s="86" t="s">
        <v>17</v>
      </c>
      <c r="AD2" s="87"/>
      <c r="AE2" s="87"/>
      <c r="AF2" s="88"/>
      <c r="AG2" s="89" t="s">
        <v>18</v>
      </c>
      <c r="AH2" s="89"/>
      <c r="AI2" s="89"/>
      <c r="AJ2" s="89"/>
      <c r="AK2" s="99" t="s">
        <v>19</v>
      </c>
      <c r="AL2" s="86" t="s">
        <v>20</v>
      </c>
      <c r="AM2" s="87"/>
      <c r="AN2" s="87"/>
      <c r="AO2" s="87"/>
      <c r="AP2" s="87"/>
      <c r="AQ2" s="88"/>
      <c r="AR2" s="81" t="s">
        <v>21</v>
      </c>
      <c r="AS2" s="81" t="s">
        <v>22</v>
      </c>
      <c r="AT2" s="100" t="s">
        <v>23</v>
      </c>
      <c r="AU2" s="101" t="s">
        <v>24</v>
      </c>
    </row>
    <row r="3" spans="1:47" ht="30" customHeight="1" outlineLevel="1">
      <c r="A3" s="81"/>
      <c r="B3" s="81"/>
      <c r="C3" s="81"/>
      <c r="D3" s="90"/>
      <c r="E3" s="91"/>
      <c r="F3" s="92"/>
      <c r="G3" s="93"/>
      <c r="H3" s="94"/>
      <c r="I3" s="96"/>
      <c r="J3" s="97"/>
      <c r="K3" s="77"/>
      <c r="L3" s="43" t="s">
        <v>25</v>
      </c>
      <c r="M3" s="44" t="s">
        <v>26</v>
      </c>
      <c r="N3" s="45" t="s">
        <v>27</v>
      </c>
      <c r="O3" s="46" t="s">
        <v>28</v>
      </c>
      <c r="P3" s="31" t="s">
        <v>29</v>
      </c>
      <c r="Q3" s="45" t="s">
        <v>30</v>
      </c>
      <c r="R3" s="31" t="s">
        <v>31</v>
      </c>
      <c r="S3" s="31" t="s">
        <v>32</v>
      </c>
      <c r="T3" s="54" t="s">
        <v>33</v>
      </c>
      <c r="U3" s="98"/>
      <c r="V3" s="99"/>
      <c r="W3" s="32" t="s">
        <v>34</v>
      </c>
      <c r="X3" s="32" t="s">
        <v>35</v>
      </c>
      <c r="Y3" s="32" t="s">
        <v>36</v>
      </c>
      <c r="Z3" s="32" t="s">
        <v>37</v>
      </c>
      <c r="AA3" s="32" t="s">
        <v>38</v>
      </c>
      <c r="AB3" s="63" t="s">
        <v>39</v>
      </c>
      <c r="AC3" s="32" t="s">
        <v>40</v>
      </c>
      <c r="AD3" s="32" t="s">
        <v>41</v>
      </c>
      <c r="AE3" s="32" t="s">
        <v>42</v>
      </c>
      <c r="AF3" s="32" t="s">
        <v>43</v>
      </c>
      <c r="AG3" s="32" t="s">
        <v>44</v>
      </c>
      <c r="AH3" s="32" t="s">
        <v>45</v>
      </c>
      <c r="AI3" s="32" t="s">
        <v>46</v>
      </c>
      <c r="AJ3" s="32" t="s">
        <v>47</v>
      </c>
      <c r="AK3" s="99"/>
      <c r="AL3" s="46" t="s">
        <v>48</v>
      </c>
      <c r="AM3" s="64" t="s">
        <v>49</v>
      </c>
      <c r="AN3" s="64" t="s">
        <v>50</v>
      </c>
      <c r="AO3" s="55" t="s">
        <v>51</v>
      </c>
      <c r="AP3" s="31" t="s">
        <v>52</v>
      </c>
      <c r="AQ3" s="31" t="s">
        <v>53</v>
      </c>
      <c r="AR3" s="81"/>
      <c r="AS3" s="81"/>
      <c r="AT3" s="100"/>
      <c r="AU3" s="101"/>
    </row>
    <row r="4" spans="1:47" ht="25" customHeight="1">
      <c r="A4" s="33">
        <v>1</v>
      </c>
      <c r="B4" s="34" t="s">
        <v>54</v>
      </c>
      <c r="C4" s="35">
        <v>45285</v>
      </c>
      <c r="D4" s="36" t="s">
        <v>55</v>
      </c>
      <c r="E4" s="36" t="s">
        <v>56</v>
      </c>
      <c r="F4" s="37">
        <v>31</v>
      </c>
      <c r="G4" s="38">
        <v>27</v>
      </c>
      <c r="H4" s="34"/>
      <c r="I4" s="47">
        <v>5000</v>
      </c>
      <c r="J4" s="48" t="str">
        <f t="shared" ref="J4:J12" si="0">IF(K4&lt;12000,0,"")&amp;IF(AND(K4&gt;=12000,K4&lt;16000),600,"")&amp;IF(AND(K4&gt;=16000,K4&lt;22000),900,"")&amp;IF(K4&gt;=22000,1200,"")</f>
        <v>0</v>
      </c>
      <c r="K4" s="34">
        <f t="shared" ref="K4:K8" si="1">L4+O4</f>
        <v>0</v>
      </c>
      <c r="L4" s="34"/>
      <c r="M4" s="49" t="str">
        <f t="shared" ref="M4:M10" si="2">IF(L4&lt;=6000,36%,"")&amp;IF(AND(L4&gt;=6001,L4&lt;=13000),38%,"")&amp;IF(L4&gt;13000,40%,"")</f>
        <v>0.36</v>
      </c>
      <c r="N4" s="50">
        <f t="shared" ref="N4:N10" si="3">L4*M4</f>
        <v>0</v>
      </c>
      <c r="O4" s="34"/>
      <c r="P4" s="51">
        <f t="shared" ref="P4:P12" si="4">IF(O4&lt;=13000,30%,IF(O4&gt;13000,32%))</f>
        <v>0.3</v>
      </c>
      <c r="Q4" s="56">
        <f t="shared" ref="Q4:Q9" si="5">O4*P4</f>
        <v>0</v>
      </c>
      <c r="R4" s="34"/>
      <c r="S4" s="49" t="str">
        <f>IF(R4&lt;=8000,3%,"")&amp;IF(AND(R4&gt;=8001,R4&lt;=16000),4%,"")&amp;IF(AND(R4&gt;=16001,R4&lt;=24000),5%,"")&amp;IF(R4&gt;24000,6%,"")</f>
        <v>0.03</v>
      </c>
      <c r="T4" s="50">
        <f>R4*S4</f>
        <v>0</v>
      </c>
      <c r="U4" s="57"/>
      <c r="V4" s="58">
        <f>I4+J4+N4+Q4+T4+U4</f>
        <v>5000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65">
        <f>V4+SUM(W4:AB4)-SUM(AC4:AJ4)</f>
        <v>5000</v>
      </c>
      <c r="AL4" s="34">
        <v>105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  <c r="AR4" s="34">
        <v>0</v>
      </c>
      <c r="AS4" s="34">
        <v>0</v>
      </c>
      <c r="AT4" s="65">
        <f>AK4-SUM(AL4:AS4)</f>
        <v>4895</v>
      </c>
      <c r="AU4" s="68"/>
    </row>
    <row r="5" spans="1:47" ht="25" customHeight="1">
      <c r="A5" s="33">
        <v>2</v>
      </c>
      <c r="B5" s="34" t="s">
        <v>57</v>
      </c>
      <c r="C5" s="35">
        <v>45285</v>
      </c>
      <c r="D5" s="36" t="s">
        <v>55</v>
      </c>
      <c r="E5" s="36" t="s">
        <v>56</v>
      </c>
      <c r="F5" s="37">
        <v>31</v>
      </c>
      <c r="G5" s="38">
        <v>27</v>
      </c>
      <c r="H5" s="34"/>
      <c r="I5" s="47">
        <v>4000</v>
      </c>
      <c r="J5" s="48" t="str">
        <f t="shared" si="0"/>
        <v>0</v>
      </c>
      <c r="K5" s="34">
        <f t="shared" si="1"/>
        <v>0</v>
      </c>
      <c r="L5" s="34"/>
      <c r="M5" s="49" t="str">
        <f t="shared" si="2"/>
        <v>0.36</v>
      </c>
      <c r="N5" s="50">
        <f t="shared" si="3"/>
        <v>0</v>
      </c>
      <c r="O5" s="34"/>
      <c r="P5" s="51">
        <f t="shared" si="4"/>
        <v>0.3</v>
      </c>
      <c r="Q5" s="56">
        <f t="shared" si="5"/>
        <v>0</v>
      </c>
      <c r="R5" s="34"/>
      <c r="S5" s="49" t="str">
        <f t="shared" ref="S5:S7" si="6">IF(R5&lt;=8000,3%,"")&amp;IF(AND(R5&gt;=8001,R5&lt;=16000),4%,"")&amp;IF(AND(R5&gt;=16001,R5&lt;=24000),5%,"")&amp;IF(R5&gt;24000,6%,"")</f>
        <v>0.03</v>
      </c>
      <c r="T5" s="50">
        <f t="shared" ref="T5:T7" si="7">R5*S5</f>
        <v>0</v>
      </c>
      <c r="U5" s="57"/>
      <c r="V5" s="58">
        <f t="shared" ref="V5:V7" si="8">I5+J5+N5+Q5+T5+U5</f>
        <v>4000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65">
        <f t="shared" ref="AK5:AK7" si="9">V5+SUM(W5:AB5)-SUM(AC5:AJ5)</f>
        <v>4000</v>
      </c>
      <c r="AL5" s="34">
        <v>105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  <c r="AR5" s="34">
        <v>0</v>
      </c>
      <c r="AS5" s="34">
        <v>0</v>
      </c>
      <c r="AT5" s="65">
        <f t="shared" ref="AT5:AT7" si="10">AK5-SUM(AL5:AS5)</f>
        <v>3895</v>
      </c>
      <c r="AU5" s="68"/>
    </row>
    <row r="6" spans="1:47" ht="25" customHeight="1">
      <c r="A6" s="33">
        <v>3</v>
      </c>
      <c r="B6" s="34" t="s">
        <v>58</v>
      </c>
      <c r="C6" s="35">
        <v>45285</v>
      </c>
      <c r="D6" s="36" t="s">
        <v>55</v>
      </c>
      <c r="E6" s="36" t="s">
        <v>56</v>
      </c>
      <c r="F6" s="37">
        <v>31</v>
      </c>
      <c r="G6" s="38">
        <v>27</v>
      </c>
      <c r="H6" s="34"/>
      <c r="I6" s="47">
        <v>4000</v>
      </c>
      <c r="J6" s="48" t="str">
        <f t="shared" si="0"/>
        <v>0</v>
      </c>
      <c r="K6" s="34">
        <f t="shared" si="1"/>
        <v>0</v>
      </c>
      <c r="L6" s="34"/>
      <c r="M6" s="49" t="str">
        <f t="shared" si="2"/>
        <v>0.36</v>
      </c>
      <c r="N6" s="50">
        <f t="shared" si="3"/>
        <v>0</v>
      </c>
      <c r="O6" s="34"/>
      <c r="P6" s="51">
        <f t="shared" si="4"/>
        <v>0.3</v>
      </c>
      <c r="Q6" s="56">
        <f t="shared" si="5"/>
        <v>0</v>
      </c>
      <c r="R6" s="34"/>
      <c r="S6" s="49" t="str">
        <f t="shared" si="6"/>
        <v>0.03</v>
      </c>
      <c r="T6" s="50">
        <f t="shared" si="7"/>
        <v>0</v>
      </c>
      <c r="U6" s="57"/>
      <c r="V6" s="58">
        <f t="shared" si="8"/>
        <v>4000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65">
        <f t="shared" si="9"/>
        <v>4000</v>
      </c>
      <c r="AL6" s="34">
        <v>70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  <c r="AR6" s="34">
        <v>0</v>
      </c>
      <c r="AS6" s="34">
        <v>0</v>
      </c>
      <c r="AT6" s="65">
        <f t="shared" si="10"/>
        <v>3930</v>
      </c>
      <c r="AU6" s="68"/>
    </row>
    <row r="7" spans="1:47" ht="25" customHeight="1">
      <c r="A7" s="33">
        <v>4</v>
      </c>
      <c r="B7" s="34" t="s">
        <v>59</v>
      </c>
      <c r="C7" s="35">
        <v>45285</v>
      </c>
      <c r="D7" s="36" t="s">
        <v>55</v>
      </c>
      <c r="E7" s="36" t="s">
        <v>56</v>
      </c>
      <c r="F7" s="37">
        <v>31</v>
      </c>
      <c r="G7" s="38">
        <v>26</v>
      </c>
      <c r="H7" s="34"/>
      <c r="I7" s="47">
        <v>4000</v>
      </c>
      <c r="J7" s="48" t="str">
        <f t="shared" si="0"/>
        <v>0</v>
      </c>
      <c r="K7" s="34">
        <f t="shared" si="1"/>
        <v>0</v>
      </c>
      <c r="L7" s="34"/>
      <c r="M7" s="49" t="str">
        <f t="shared" si="2"/>
        <v>0.36</v>
      </c>
      <c r="N7" s="50">
        <f t="shared" si="3"/>
        <v>0</v>
      </c>
      <c r="O7" s="34"/>
      <c r="P7" s="51">
        <f t="shared" si="4"/>
        <v>0.3</v>
      </c>
      <c r="Q7" s="56">
        <f t="shared" si="5"/>
        <v>0</v>
      </c>
      <c r="R7" s="34"/>
      <c r="S7" s="49" t="str">
        <f t="shared" si="6"/>
        <v>0.03</v>
      </c>
      <c r="T7" s="50">
        <f t="shared" si="7"/>
        <v>0</v>
      </c>
      <c r="U7" s="57"/>
      <c r="V7" s="58">
        <f t="shared" si="8"/>
        <v>4000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65">
        <f t="shared" si="9"/>
        <v>4000</v>
      </c>
      <c r="AL7" s="34">
        <v>119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  <c r="AR7" s="34">
        <v>0</v>
      </c>
      <c r="AS7" s="34">
        <v>0</v>
      </c>
      <c r="AT7" s="65">
        <f t="shared" si="10"/>
        <v>3881</v>
      </c>
      <c r="AU7" s="68"/>
    </row>
    <row r="8" spans="1:47" ht="25" customHeight="1">
      <c r="A8" s="33">
        <v>5</v>
      </c>
      <c r="B8" s="34" t="s">
        <v>60</v>
      </c>
      <c r="C8" s="35">
        <v>45288</v>
      </c>
      <c r="D8" s="36" t="s">
        <v>55</v>
      </c>
      <c r="E8" s="36" t="s">
        <v>56</v>
      </c>
      <c r="F8" s="37">
        <v>31</v>
      </c>
      <c r="G8" s="38">
        <v>28</v>
      </c>
      <c r="H8" s="34"/>
      <c r="I8" s="47"/>
      <c r="J8" s="48" t="str">
        <f t="shared" si="0"/>
        <v>0</v>
      </c>
      <c r="K8" s="34">
        <f t="shared" si="1"/>
        <v>8492</v>
      </c>
      <c r="L8" s="34">
        <v>1440.12</v>
      </c>
      <c r="M8" s="49" t="str">
        <f t="shared" si="2"/>
        <v>0.36</v>
      </c>
      <c r="N8" s="50">
        <f t="shared" si="3"/>
        <v>518.44320000000005</v>
      </c>
      <c r="O8" s="34">
        <v>7051.88</v>
      </c>
      <c r="P8" s="51">
        <f t="shared" si="4"/>
        <v>0.3</v>
      </c>
      <c r="Q8" s="56">
        <f t="shared" si="5"/>
        <v>2115.5639999999999</v>
      </c>
      <c r="R8" s="34">
        <v>0</v>
      </c>
      <c r="S8" s="49" t="str">
        <f t="shared" ref="S8:S20" si="11">IF(R8&lt;=8000,3%,"")&amp;IF(AND(R8&gt;=8001,R8&lt;=16000),4%,"")&amp;IF(AND(R8&gt;=16001,R8&lt;=24000),5%,"")&amp;IF(R8&gt;24000,6%,"")</f>
        <v>0.03</v>
      </c>
      <c r="T8" s="50">
        <f t="shared" ref="T8:T20" si="12">R8*S8</f>
        <v>0</v>
      </c>
      <c r="U8" s="57">
        <v>1868.32</v>
      </c>
      <c r="V8" s="58">
        <f t="shared" ref="V8:V20" si="13">I8+J8+N8+Q8+T8+U8</f>
        <v>4502.3271999999997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65">
        <f t="shared" ref="AK8:AK20" si="14">V8+SUM(W8:AB8)-SUM(AC8:AJ8)</f>
        <v>4502.3271999999997</v>
      </c>
      <c r="AL8" s="34">
        <v>126</v>
      </c>
      <c r="AM8" s="34">
        <v>0</v>
      </c>
      <c r="AN8" s="34">
        <v>300</v>
      </c>
      <c r="AO8" s="34">
        <v>0</v>
      </c>
      <c r="AP8" s="34">
        <v>0</v>
      </c>
      <c r="AQ8" s="34">
        <v>0</v>
      </c>
      <c r="AR8" s="34">
        <v>0</v>
      </c>
      <c r="AS8" s="34">
        <v>0</v>
      </c>
      <c r="AT8" s="65">
        <f t="shared" ref="AT8:AT20" si="15">AK8-SUM(AL8:AS8)</f>
        <v>4076.3272000000002</v>
      </c>
      <c r="AU8" s="68"/>
    </row>
    <row r="9" spans="1:47" ht="25" customHeight="1">
      <c r="A9" s="33">
        <v>6</v>
      </c>
      <c r="B9" s="34" t="s">
        <v>61</v>
      </c>
      <c r="C9" s="35">
        <v>45285</v>
      </c>
      <c r="D9" s="36" t="s">
        <v>55</v>
      </c>
      <c r="E9" s="36" t="s">
        <v>56</v>
      </c>
      <c r="F9" s="37">
        <v>31</v>
      </c>
      <c r="G9" s="38">
        <v>27</v>
      </c>
      <c r="H9" s="34"/>
      <c r="I9" s="34">
        <v>4000</v>
      </c>
      <c r="J9" s="48" t="str">
        <f t="shared" si="0"/>
        <v>0</v>
      </c>
      <c r="K9" s="34">
        <f t="shared" ref="K9:K20" si="16">L9+O9</f>
        <v>0</v>
      </c>
      <c r="L9" s="34"/>
      <c r="M9" s="49" t="str">
        <f t="shared" si="2"/>
        <v>0.36</v>
      </c>
      <c r="N9" s="50">
        <f t="shared" si="3"/>
        <v>0</v>
      </c>
      <c r="O9" s="34"/>
      <c r="P9" s="51">
        <f t="shared" si="4"/>
        <v>0.3</v>
      </c>
      <c r="Q9" s="56">
        <f t="shared" si="5"/>
        <v>0</v>
      </c>
      <c r="R9" s="34"/>
      <c r="S9" s="49" t="str">
        <f t="shared" si="11"/>
        <v>0.03</v>
      </c>
      <c r="T9" s="50">
        <f t="shared" si="12"/>
        <v>0</v>
      </c>
      <c r="U9" s="57"/>
      <c r="V9" s="58">
        <f t="shared" si="13"/>
        <v>4000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65">
        <f t="shared" si="14"/>
        <v>4000</v>
      </c>
      <c r="AL9" s="34">
        <v>105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  <c r="AR9" s="34">
        <v>0</v>
      </c>
      <c r="AS9" s="34">
        <v>0</v>
      </c>
      <c r="AT9" s="65">
        <f t="shared" si="15"/>
        <v>3895</v>
      </c>
      <c r="AU9" s="68"/>
    </row>
    <row r="10" spans="1:47" ht="25" customHeight="1">
      <c r="A10" s="33">
        <v>7</v>
      </c>
      <c r="B10" s="34" t="s">
        <v>62</v>
      </c>
      <c r="C10" s="35">
        <v>45285</v>
      </c>
      <c r="D10" s="36" t="s">
        <v>55</v>
      </c>
      <c r="E10" s="36" t="s">
        <v>56</v>
      </c>
      <c r="F10" s="37">
        <v>31</v>
      </c>
      <c r="G10" s="38">
        <v>27</v>
      </c>
      <c r="H10" s="34"/>
      <c r="I10" s="34">
        <v>4000</v>
      </c>
      <c r="J10" s="48" t="str">
        <f t="shared" si="0"/>
        <v>0</v>
      </c>
      <c r="K10" s="34">
        <f t="shared" si="16"/>
        <v>0</v>
      </c>
      <c r="L10" s="34"/>
      <c r="M10" s="49" t="str">
        <f t="shared" si="2"/>
        <v>0.36</v>
      </c>
      <c r="N10" s="50">
        <f t="shared" si="3"/>
        <v>0</v>
      </c>
      <c r="O10" s="34"/>
      <c r="P10" s="51">
        <f t="shared" si="4"/>
        <v>0.3</v>
      </c>
      <c r="Q10" s="56">
        <f t="shared" ref="Q10:Q20" si="17">O10*P10</f>
        <v>0</v>
      </c>
      <c r="R10" s="34"/>
      <c r="S10" s="49" t="str">
        <f t="shared" si="11"/>
        <v>0.03</v>
      </c>
      <c r="T10" s="50">
        <f t="shared" si="12"/>
        <v>0</v>
      </c>
      <c r="U10" s="57"/>
      <c r="V10" s="58">
        <f t="shared" si="13"/>
        <v>4000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65">
        <f t="shared" si="14"/>
        <v>4000</v>
      </c>
      <c r="AL10" s="34">
        <v>49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  <c r="AR10" s="34">
        <v>0</v>
      </c>
      <c r="AS10" s="34">
        <v>0</v>
      </c>
      <c r="AT10" s="65">
        <f t="shared" si="15"/>
        <v>3951</v>
      </c>
      <c r="AU10" s="68"/>
    </row>
    <row r="11" spans="1:47" ht="25" customHeight="1">
      <c r="A11" s="33">
        <v>8</v>
      </c>
      <c r="B11" s="34" t="s">
        <v>63</v>
      </c>
      <c r="C11" s="39">
        <v>45303</v>
      </c>
      <c r="D11" s="36" t="s">
        <v>55</v>
      </c>
      <c r="E11" s="36" t="s">
        <v>56</v>
      </c>
      <c r="F11" s="37">
        <v>31</v>
      </c>
      <c r="G11" s="38">
        <v>20</v>
      </c>
      <c r="H11" s="34"/>
      <c r="I11" s="52">
        <f>ROUND(H11/31*(31-DAY(C11)+1),2)</f>
        <v>0</v>
      </c>
      <c r="J11" s="48" t="str">
        <f t="shared" si="0"/>
        <v>0</v>
      </c>
      <c r="K11" s="34">
        <f t="shared" si="16"/>
        <v>5950.99</v>
      </c>
      <c r="L11" s="34">
        <v>188</v>
      </c>
      <c r="M11" s="49" t="str">
        <f t="shared" ref="M11:M20" si="18">IF(L11&lt;=6000,36%,"")&amp;IF(AND(L11&gt;=6001,L11&lt;=13000),38%,"")&amp;IF(L11&gt;13000,40%,"")</f>
        <v>0.36</v>
      </c>
      <c r="N11" s="50">
        <f t="shared" ref="N11:N20" si="19">L11*M11</f>
        <v>67.680000000000007</v>
      </c>
      <c r="O11" s="34">
        <v>5762.99</v>
      </c>
      <c r="P11" s="51">
        <f t="shared" si="4"/>
        <v>0.3</v>
      </c>
      <c r="Q11" s="56">
        <f t="shared" si="17"/>
        <v>1728.8969999999999</v>
      </c>
      <c r="R11" s="34">
        <v>0</v>
      </c>
      <c r="S11" s="49" t="str">
        <f t="shared" si="11"/>
        <v>0.03</v>
      </c>
      <c r="T11" s="50">
        <f t="shared" si="12"/>
        <v>0</v>
      </c>
      <c r="U11" s="57">
        <v>1332.88</v>
      </c>
      <c r="V11" s="58">
        <f t="shared" si="13"/>
        <v>3129.4569999999999</v>
      </c>
      <c r="W11" s="34">
        <v>0</v>
      </c>
      <c r="X11" s="34">
        <v>0</v>
      </c>
      <c r="Y11" s="34">
        <v>0</v>
      </c>
      <c r="Z11" s="34">
        <f>30*7</f>
        <v>210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65">
        <f t="shared" si="14"/>
        <v>3339.4569999999999</v>
      </c>
      <c r="AL11" s="34">
        <v>112</v>
      </c>
      <c r="AM11" s="34">
        <v>0</v>
      </c>
      <c r="AN11" s="34">
        <v>0</v>
      </c>
      <c r="AO11" s="34">
        <v>0</v>
      </c>
      <c r="AP11" s="34">
        <v>0</v>
      </c>
      <c r="AQ11" s="34">
        <v>100</v>
      </c>
      <c r="AR11" s="34">
        <v>0</v>
      </c>
      <c r="AS11" s="34">
        <v>0</v>
      </c>
      <c r="AT11" s="65">
        <f t="shared" si="15"/>
        <v>3127.4569999999999</v>
      </c>
      <c r="AU11" s="69"/>
    </row>
    <row r="12" spans="1:47" ht="25" customHeight="1">
      <c r="A12" s="33">
        <v>9</v>
      </c>
      <c r="B12" s="34" t="s">
        <v>64</v>
      </c>
      <c r="C12" s="39">
        <v>45310</v>
      </c>
      <c r="D12" s="36" t="s">
        <v>55</v>
      </c>
      <c r="E12" s="36" t="s">
        <v>56</v>
      </c>
      <c r="F12" s="37">
        <v>31</v>
      </c>
      <c r="G12" s="38">
        <v>13</v>
      </c>
      <c r="H12" s="34">
        <v>4000</v>
      </c>
      <c r="I12" s="52">
        <f>ROUND(H12/31*(31-DAY(C12)+1),2)</f>
        <v>1677.42</v>
      </c>
      <c r="J12" s="48" t="str">
        <f t="shared" si="0"/>
        <v>0</v>
      </c>
      <c r="K12" s="34">
        <f t="shared" si="16"/>
        <v>0</v>
      </c>
      <c r="L12" s="34">
        <v>0</v>
      </c>
      <c r="M12" s="49" t="str">
        <f t="shared" si="18"/>
        <v>0.36</v>
      </c>
      <c r="N12" s="50">
        <f t="shared" si="19"/>
        <v>0</v>
      </c>
      <c r="O12" s="34"/>
      <c r="P12" s="51">
        <f t="shared" si="4"/>
        <v>0.3</v>
      </c>
      <c r="Q12" s="56">
        <f t="shared" si="17"/>
        <v>0</v>
      </c>
      <c r="R12" s="34"/>
      <c r="S12" s="49" t="str">
        <f t="shared" si="11"/>
        <v>0.03</v>
      </c>
      <c r="T12" s="50">
        <f t="shared" si="12"/>
        <v>0</v>
      </c>
      <c r="U12" s="57"/>
      <c r="V12" s="58">
        <f t="shared" si="13"/>
        <v>1677.42</v>
      </c>
      <c r="W12" s="34">
        <v>0</v>
      </c>
      <c r="X12" s="34">
        <v>0</v>
      </c>
      <c r="Y12" s="34">
        <v>0</v>
      </c>
      <c r="Z12" s="34">
        <f>30*3</f>
        <v>90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65">
        <f t="shared" si="14"/>
        <v>1767.42</v>
      </c>
      <c r="AL12" s="34">
        <v>98</v>
      </c>
      <c r="AM12" s="34">
        <v>0</v>
      </c>
      <c r="AN12" s="34">
        <v>0</v>
      </c>
      <c r="AO12" s="34">
        <v>0</v>
      </c>
      <c r="AP12" s="34">
        <v>0</v>
      </c>
      <c r="AQ12" s="34">
        <v>100</v>
      </c>
      <c r="AR12" s="34">
        <v>0</v>
      </c>
      <c r="AS12" s="34">
        <v>0</v>
      </c>
      <c r="AT12" s="65">
        <f t="shared" si="15"/>
        <v>1569.42</v>
      </c>
      <c r="AU12" s="68"/>
    </row>
    <row r="13" spans="1:47" ht="25" customHeight="1">
      <c r="A13" s="33">
        <v>10</v>
      </c>
      <c r="B13" s="34" t="s">
        <v>65</v>
      </c>
      <c r="C13" s="35">
        <v>45268</v>
      </c>
      <c r="D13" s="36" t="s">
        <v>55</v>
      </c>
      <c r="E13" s="36" t="s">
        <v>66</v>
      </c>
      <c r="F13" s="37">
        <v>26</v>
      </c>
      <c r="G13" s="38">
        <v>28</v>
      </c>
      <c r="H13" s="34"/>
      <c r="I13" s="34">
        <v>4000</v>
      </c>
      <c r="J13" s="48" t="str">
        <f t="shared" ref="J13:J20" si="20">IF(K13&lt;12000,0,"")&amp;IF(AND(K13&gt;=12000,K13&lt;16000),600,"")&amp;IF(AND(K13&gt;=16000,K13&lt;22000),900,"")&amp;IF(K13&gt;=22000,1200,"")</f>
        <v>0</v>
      </c>
      <c r="K13" s="34">
        <f t="shared" si="16"/>
        <v>0</v>
      </c>
      <c r="L13" s="34">
        <v>0</v>
      </c>
      <c r="M13" s="49" t="str">
        <f t="shared" si="18"/>
        <v>0.36</v>
      </c>
      <c r="N13" s="50">
        <f t="shared" si="19"/>
        <v>0</v>
      </c>
      <c r="O13" s="34">
        <v>0</v>
      </c>
      <c r="P13" s="51">
        <f t="shared" ref="P13:P20" si="21">IF(O13&lt;=13000,30%,IF(O13&gt;13000,32%))</f>
        <v>0.3</v>
      </c>
      <c r="Q13" s="56">
        <f t="shared" si="17"/>
        <v>0</v>
      </c>
      <c r="R13" s="34">
        <v>0</v>
      </c>
      <c r="S13" s="49" t="str">
        <f t="shared" si="11"/>
        <v>0.03</v>
      </c>
      <c r="T13" s="50">
        <f t="shared" si="12"/>
        <v>0</v>
      </c>
      <c r="U13" s="34">
        <v>0</v>
      </c>
      <c r="V13" s="58">
        <f t="shared" si="13"/>
        <v>4000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65">
        <f t="shared" si="14"/>
        <v>4000</v>
      </c>
      <c r="AL13" s="34">
        <v>112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  <c r="AR13" s="34">
        <v>0</v>
      </c>
      <c r="AS13" s="34">
        <v>0</v>
      </c>
      <c r="AT13" s="65">
        <f t="shared" si="15"/>
        <v>3888</v>
      </c>
      <c r="AU13" s="68"/>
    </row>
    <row r="14" spans="1:47" ht="25" customHeight="1">
      <c r="A14" s="33">
        <v>11</v>
      </c>
      <c r="B14" s="34" t="s">
        <v>67</v>
      </c>
      <c r="C14" s="35">
        <v>45246</v>
      </c>
      <c r="D14" s="36" t="s">
        <v>55</v>
      </c>
      <c r="E14" s="36" t="s">
        <v>68</v>
      </c>
      <c r="F14" s="37">
        <v>26</v>
      </c>
      <c r="G14" s="38">
        <v>26</v>
      </c>
      <c r="H14" s="34"/>
      <c r="I14" s="34">
        <v>2400</v>
      </c>
      <c r="J14" s="48" t="str">
        <f t="shared" si="20"/>
        <v>0</v>
      </c>
      <c r="K14" s="34">
        <f t="shared" si="16"/>
        <v>0</v>
      </c>
      <c r="L14" s="34">
        <v>0</v>
      </c>
      <c r="M14" s="49" t="str">
        <f t="shared" si="18"/>
        <v>0.36</v>
      </c>
      <c r="N14" s="50">
        <f t="shared" si="19"/>
        <v>0</v>
      </c>
      <c r="O14" s="34">
        <v>0</v>
      </c>
      <c r="P14" s="51">
        <f t="shared" si="21"/>
        <v>0.3</v>
      </c>
      <c r="Q14" s="56">
        <f t="shared" si="17"/>
        <v>0</v>
      </c>
      <c r="R14" s="34">
        <v>333.33</v>
      </c>
      <c r="S14" s="49" t="str">
        <f t="shared" si="11"/>
        <v>0.03</v>
      </c>
      <c r="T14" s="50">
        <f t="shared" si="12"/>
        <v>9.9999000000000002</v>
      </c>
      <c r="U14" s="34">
        <v>0</v>
      </c>
      <c r="V14" s="58">
        <f t="shared" si="13"/>
        <v>2409.9998999999998</v>
      </c>
      <c r="W14" s="34">
        <f>150+50</f>
        <v>200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65">
        <f t="shared" si="14"/>
        <v>2609.9998999999998</v>
      </c>
      <c r="AL14" s="34">
        <v>98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  <c r="AR14" s="34">
        <v>0</v>
      </c>
      <c r="AS14" s="34">
        <v>0</v>
      </c>
      <c r="AT14" s="65">
        <f t="shared" si="15"/>
        <v>2511.9998999999998</v>
      </c>
      <c r="AU14" s="68"/>
    </row>
    <row r="15" spans="1:47" ht="25" customHeight="1">
      <c r="A15" s="33">
        <v>12</v>
      </c>
      <c r="B15" s="34" t="s">
        <v>69</v>
      </c>
      <c r="C15" s="35">
        <v>45271</v>
      </c>
      <c r="D15" s="36" t="s">
        <v>55</v>
      </c>
      <c r="E15" s="36" t="s">
        <v>68</v>
      </c>
      <c r="F15" s="37">
        <v>26</v>
      </c>
      <c r="G15" s="38">
        <v>26</v>
      </c>
      <c r="H15" s="34"/>
      <c r="I15" s="34">
        <v>2400</v>
      </c>
      <c r="J15" s="48" t="str">
        <f t="shared" si="20"/>
        <v>0</v>
      </c>
      <c r="K15" s="34">
        <f t="shared" si="16"/>
        <v>0</v>
      </c>
      <c r="L15" s="34">
        <v>0</v>
      </c>
      <c r="M15" s="49" t="str">
        <f t="shared" si="18"/>
        <v>0.36</v>
      </c>
      <c r="N15" s="50">
        <f t="shared" si="19"/>
        <v>0</v>
      </c>
      <c r="O15" s="34">
        <v>0</v>
      </c>
      <c r="P15" s="51">
        <f t="shared" si="21"/>
        <v>0.3</v>
      </c>
      <c r="Q15" s="56">
        <f t="shared" si="17"/>
        <v>0</v>
      </c>
      <c r="R15" s="34">
        <v>333.33</v>
      </c>
      <c r="S15" s="49" t="str">
        <f t="shared" si="11"/>
        <v>0.03</v>
      </c>
      <c r="T15" s="50">
        <f t="shared" si="12"/>
        <v>9.9999000000000002</v>
      </c>
      <c r="U15" s="34">
        <v>0</v>
      </c>
      <c r="V15" s="58">
        <f t="shared" si="13"/>
        <v>2409.9998999999998</v>
      </c>
      <c r="W15" s="34">
        <f>75+50</f>
        <v>125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65">
        <f t="shared" si="14"/>
        <v>2534.9998999999998</v>
      </c>
      <c r="AL15" s="34">
        <v>70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  <c r="AR15" s="34">
        <v>0</v>
      </c>
      <c r="AS15" s="34">
        <v>0</v>
      </c>
      <c r="AT15" s="65">
        <f t="shared" si="15"/>
        <v>2464.9998999999998</v>
      </c>
      <c r="AU15" s="68"/>
    </row>
    <row r="16" spans="1:47" ht="25" customHeight="1">
      <c r="A16" s="33">
        <v>13</v>
      </c>
      <c r="B16" s="34" t="s">
        <v>70</v>
      </c>
      <c r="C16" s="35">
        <v>45273</v>
      </c>
      <c r="D16" s="36" t="s">
        <v>55</v>
      </c>
      <c r="E16" s="36" t="s">
        <v>68</v>
      </c>
      <c r="F16" s="37">
        <v>26</v>
      </c>
      <c r="G16" s="38">
        <v>26</v>
      </c>
      <c r="H16" s="34"/>
      <c r="I16" s="34">
        <v>2400</v>
      </c>
      <c r="J16" s="48" t="str">
        <f t="shared" si="20"/>
        <v>0</v>
      </c>
      <c r="K16" s="34">
        <f t="shared" si="16"/>
        <v>0</v>
      </c>
      <c r="L16" s="34">
        <v>0</v>
      </c>
      <c r="M16" s="49" t="str">
        <f t="shared" si="18"/>
        <v>0.36</v>
      </c>
      <c r="N16" s="50">
        <f t="shared" si="19"/>
        <v>0</v>
      </c>
      <c r="O16" s="34">
        <v>0</v>
      </c>
      <c r="P16" s="51">
        <f t="shared" si="21"/>
        <v>0.3</v>
      </c>
      <c r="Q16" s="56">
        <f t="shared" si="17"/>
        <v>0</v>
      </c>
      <c r="R16" s="34">
        <v>333.34</v>
      </c>
      <c r="S16" s="49" t="str">
        <f t="shared" si="11"/>
        <v>0.03</v>
      </c>
      <c r="T16" s="50">
        <f t="shared" si="12"/>
        <v>10.0002</v>
      </c>
      <c r="U16" s="34">
        <v>0</v>
      </c>
      <c r="V16" s="58">
        <f t="shared" si="13"/>
        <v>2410.0001999999999</v>
      </c>
      <c r="W16" s="34">
        <v>50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65">
        <f t="shared" si="14"/>
        <v>2460.0001999999999</v>
      </c>
      <c r="AL16" s="34">
        <v>49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  <c r="AR16" s="34">
        <v>0</v>
      </c>
      <c r="AS16" s="34">
        <v>0</v>
      </c>
      <c r="AT16" s="65">
        <f t="shared" si="15"/>
        <v>2411.0001999999999</v>
      </c>
      <c r="AU16" s="68"/>
    </row>
    <row r="17" spans="1:48" ht="25" customHeight="1">
      <c r="A17" s="33">
        <v>14</v>
      </c>
      <c r="B17" s="34" t="s">
        <v>71</v>
      </c>
      <c r="C17" s="35">
        <v>45292</v>
      </c>
      <c r="D17" s="36" t="s">
        <v>55</v>
      </c>
      <c r="E17" s="34" t="s">
        <v>72</v>
      </c>
      <c r="F17" s="37">
        <v>0</v>
      </c>
      <c r="G17" s="38">
        <v>0</v>
      </c>
      <c r="H17" s="34">
        <v>0</v>
      </c>
      <c r="I17" s="34">
        <v>1800</v>
      </c>
      <c r="J17" s="48" t="str">
        <f t="shared" si="20"/>
        <v>0</v>
      </c>
      <c r="K17" s="34">
        <f t="shared" si="16"/>
        <v>0</v>
      </c>
      <c r="L17" s="34">
        <v>0</v>
      </c>
      <c r="M17" s="49" t="str">
        <f t="shared" si="18"/>
        <v>0.36</v>
      </c>
      <c r="N17" s="50">
        <f t="shared" si="19"/>
        <v>0</v>
      </c>
      <c r="O17" s="34">
        <v>0</v>
      </c>
      <c r="P17" s="51">
        <f t="shared" si="21"/>
        <v>0.3</v>
      </c>
      <c r="Q17" s="56">
        <f t="shared" si="17"/>
        <v>0</v>
      </c>
      <c r="R17" s="34">
        <v>0</v>
      </c>
      <c r="S17" s="49" t="str">
        <f t="shared" si="11"/>
        <v>0.03</v>
      </c>
      <c r="T17" s="50">
        <f t="shared" si="12"/>
        <v>0</v>
      </c>
      <c r="U17" s="34">
        <v>0</v>
      </c>
      <c r="V17" s="58">
        <f t="shared" si="13"/>
        <v>1800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65">
        <f t="shared" si="14"/>
        <v>1800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  <c r="AR17" s="34">
        <v>0</v>
      </c>
      <c r="AS17" s="34">
        <v>0</v>
      </c>
      <c r="AT17" s="65">
        <f t="shared" si="15"/>
        <v>1800</v>
      </c>
      <c r="AU17" s="68"/>
    </row>
    <row r="18" spans="1:48" ht="25" customHeight="1">
      <c r="A18" s="33">
        <v>15</v>
      </c>
      <c r="B18" s="34" t="s">
        <v>73</v>
      </c>
      <c r="C18" s="35">
        <v>45309</v>
      </c>
      <c r="D18" s="36" t="s">
        <v>55</v>
      </c>
      <c r="E18" s="34" t="s">
        <v>74</v>
      </c>
      <c r="F18" s="37">
        <v>0</v>
      </c>
      <c r="G18" s="38">
        <v>6</v>
      </c>
      <c r="H18" s="34">
        <v>0</v>
      </c>
      <c r="I18" s="34">
        <f>ROUND(2800/31*6,2)</f>
        <v>541.94000000000005</v>
      </c>
      <c r="J18" s="48" t="str">
        <f t="shared" si="20"/>
        <v>0</v>
      </c>
      <c r="K18" s="34">
        <f t="shared" si="16"/>
        <v>0</v>
      </c>
      <c r="L18" s="34">
        <v>0</v>
      </c>
      <c r="M18" s="49" t="str">
        <f t="shared" si="18"/>
        <v>0.36</v>
      </c>
      <c r="N18" s="50">
        <f t="shared" si="19"/>
        <v>0</v>
      </c>
      <c r="O18" s="34">
        <v>0</v>
      </c>
      <c r="P18" s="51">
        <f t="shared" si="21"/>
        <v>0.3</v>
      </c>
      <c r="Q18" s="56">
        <f t="shared" si="17"/>
        <v>0</v>
      </c>
      <c r="R18" s="34">
        <v>0</v>
      </c>
      <c r="S18" s="49" t="str">
        <f t="shared" si="11"/>
        <v>0.03</v>
      </c>
      <c r="T18" s="50">
        <f t="shared" si="12"/>
        <v>0</v>
      </c>
      <c r="U18" s="34">
        <v>0</v>
      </c>
      <c r="V18" s="58">
        <f t="shared" si="13"/>
        <v>541.94000000000005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65">
        <f t="shared" si="14"/>
        <v>541.94000000000005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  <c r="AR18" s="34">
        <v>0</v>
      </c>
      <c r="AS18" s="34">
        <v>0</v>
      </c>
      <c r="AT18" s="65">
        <f t="shared" si="15"/>
        <v>541.94000000000005</v>
      </c>
      <c r="AU18" s="68"/>
    </row>
    <row r="19" spans="1:48" ht="25" customHeight="1">
      <c r="A19" s="33">
        <v>16</v>
      </c>
      <c r="B19" s="34" t="s">
        <v>75</v>
      </c>
      <c r="C19" s="35">
        <v>45308</v>
      </c>
      <c r="D19" s="36" t="s">
        <v>55</v>
      </c>
      <c r="E19" s="34" t="s">
        <v>74</v>
      </c>
      <c r="F19" s="37">
        <v>0</v>
      </c>
      <c r="G19" s="38">
        <v>14</v>
      </c>
      <c r="H19" s="34">
        <v>0</v>
      </c>
      <c r="I19" s="34">
        <f>ROUND(3000/31*14,2)</f>
        <v>1354.84</v>
      </c>
      <c r="J19" s="48" t="str">
        <f t="shared" si="20"/>
        <v>0</v>
      </c>
      <c r="K19" s="34">
        <f t="shared" si="16"/>
        <v>0</v>
      </c>
      <c r="L19" s="34">
        <v>0</v>
      </c>
      <c r="M19" s="49" t="str">
        <f t="shared" si="18"/>
        <v>0.36</v>
      </c>
      <c r="N19" s="50">
        <f t="shared" si="19"/>
        <v>0</v>
      </c>
      <c r="O19" s="34">
        <v>0</v>
      </c>
      <c r="P19" s="51">
        <f t="shared" si="21"/>
        <v>0.3</v>
      </c>
      <c r="Q19" s="56">
        <f t="shared" si="17"/>
        <v>0</v>
      </c>
      <c r="R19" s="34">
        <v>0</v>
      </c>
      <c r="S19" s="49" t="str">
        <f t="shared" si="11"/>
        <v>0.03</v>
      </c>
      <c r="T19" s="50">
        <f t="shared" si="12"/>
        <v>0</v>
      </c>
      <c r="U19" s="34">
        <v>0</v>
      </c>
      <c r="V19" s="58">
        <f t="shared" si="13"/>
        <v>1354.84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65">
        <f t="shared" si="14"/>
        <v>1354.84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  <c r="AR19" s="34">
        <v>0</v>
      </c>
      <c r="AS19" s="34">
        <v>0</v>
      </c>
      <c r="AT19" s="65">
        <f t="shared" si="15"/>
        <v>1354.84</v>
      </c>
      <c r="AU19" s="68"/>
    </row>
    <row r="20" spans="1:48" ht="25" customHeight="1">
      <c r="A20" s="33">
        <v>17</v>
      </c>
      <c r="B20" s="34">
        <v>0</v>
      </c>
      <c r="C20" s="34">
        <v>0</v>
      </c>
      <c r="D20" s="34">
        <v>0</v>
      </c>
      <c r="E20" s="34">
        <v>0</v>
      </c>
      <c r="F20" s="37">
        <v>0</v>
      </c>
      <c r="G20" s="38">
        <v>0</v>
      </c>
      <c r="H20" s="34">
        <v>0</v>
      </c>
      <c r="I20" s="34">
        <v>0</v>
      </c>
      <c r="J20" s="48" t="str">
        <f t="shared" si="20"/>
        <v>0</v>
      </c>
      <c r="K20" s="34">
        <f t="shared" si="16"/>
        <v>0</v>
      </c>
      <c r="L20" s="34">
        <v>0</v>
      </c>
      <c r="M20" s="49" t="str">
        <f t="shared" si="18"/>
        <v>0.36</v>
      </c>
      <c r="N20" s="50">
        <f t="shared" si="19"/>
        <v>0</v>
      </c>
      <c r="O20" s="34">
        <v>0</v>
      </c>
      <c r="P20" s="51">
        <f t="shared" si="21"/>
        <v>0.3</v>
      </c>
      <c r="Q20" s="56">
        <f t="shared" si="17"/>
        <v>0</v>
      </c>
      <c r="R20" s="34">
        <v>0</v>
      </c>
      <c r="S20" s="49" t="str">
        <f t="shared" si="11"/>
        <v>0.03</v>
      </c>
      <c r="T20" s="50">
        <f t="shared" si="12"/>
        <v>0</v>
      </c>
      <c r="U20" s="34">
        <v>0</v>
      </c>
      <c r="V20" s="58">
        <f t="shared" si="13"/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65">
        <f t="shared" si="14"/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  <c r="AR20" s="34">
        <v>0</v>
      </c>
      <c r="AS20" s="34">
        <v>0</v>
      </c>
      <c r="AT20" s="65">
        <f t="shared" si="15"/>
        <v>0</v>
      </c>
      <c r="AU20" s="68"/>
    </row>
    <row r="21" spans="1:48" s="3" customFormat="1" ht="25" customHeight="1">
      <c r="A21" s="40"/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f>SUM(H4:H20)</f>
        <v>4000</v>
      </c>
      <c r="I21" s="41">
        <f>SUM(I4:I20)</f>
        <v>41574.199999999997</v>
      </c>
      <c r="J21" s="41">
        <f t="shared" ref="J21:AK21" si="22">SUM(J4:J20)</f>
        <v>0</v>
      </c>
      <c r="K21" s="41">
        <f t="shared" si="22"/>
        <v>14442.99</v>
      </c>
      <c r="L21" s="41">
        <f t="shared" si="22"/>
        <v>1628.12</v>
      </c>
      <c r="M21" s="41">
        <f t="shared" si="22"/>
        <v>0</v>
      </c>
      <c r="N21" s="41">
        <f t="shared" si="22"/>
        <v>586.1232</v>
      </c>
      <c r="O21" s="41">
        <f t="shared" si="22"/>
        <v>12814.87</v>
      </c>
      <c r="P21" s="41">
        <f t="shared" si="22"/>
        <v>5.0999999999999996</v>
      </c>
      <c r="Q21" s="41">
        <f t="shared" si="22"/>
        <v>3844.4609999999998</v>
      </c>
      <c r="R21" s="41">
        <f t="shared" si="22"/>
        <v>1000</v>
      </c>
      <c r="S21" s="41">
        <f t="shared" si="22"/>
        <v>0</v>
      </c>
      <c r="T21" s="41">
        <f t="shared" si="22"/>
        <v>30</v>
      </c>
      <c r="U21" s="41">
        <f t="shared" si="22"/>
        <v>3201.2</v>
      </c>
      <c r="V21" s="41">
        <f t="shared" si="22"/>
        <v>49235.984199999999</v>
      </c>
      <c r="W21" s="41">
        <f t="shared" si="22"/>
        <v>375</v>
      </c>
      <c r="X21" s="41">
        <f t="shared" si="22"/>
        <v>0</v>
      </c>
      <c r="Y21" s="41">
        <f t="shared" si="22"/>
        <v>0</v>
      </c>
      <c r="Z21" s="41">
        <f t="shared" si="22"/>
        <v>300</v>
      </c>
      <c r="AA21" s="41">
        <f t="shared" si="22"/>
        <v>0</v>
      </c>
      <c r="AB21" s="41">
        <f t="shared" si="22"/>
        <v>0</v>
      </c>
      <c r="AC21" s="41">
        <f t="shared" si="22"/>
        <v>0</v>
      </c>
      <c r="AD21" s="41">
        <f t="shared" si="22"/>
        <v>0</v>
      </c>
      <c r="AE21" s="41">
        <f t="shared" si="22"/>
        <v>0</v>
      </c>
      <c r="AF21" s="41">
        <f t="shared" si="22"/>
        <v>0</v>
      </c>
      <c r="AG21" s="41">
        <f t="shared" si="22"/>
        <v>0</v>
      </c>
      <c r="AH21" s="41">
        <f t="shared" si="22"/>
        <v>0</v>
      </c>
      <c r="AI21" s="41">
        <f t="shared" si="22"/>
        <v>0</v>
      </c>
      <c r="AJ21" s="41">
        <f t="shared" si="22"/>
        <v>0</v>
      </c>
      <c r="AK21" s="41">
        <f t="shared" si="22"/>
        <v>49910.984199999999</v>
      </c>
      <c r="AL21" s="41">
        <f t="shared" ref="AL21:AT21" si="23">SUM(AL4:AL20)</f>
        <v>1218</v>
      </c>
      <c r="AM21" s="41">
        <f t="shared" si="23"/>
        <v>0</v>
      </c>
      <c r="AN21" s="41">
        <f t="shared" si="23"/>
        <v>300</v>
      </c>
      <c r="AO21" s="41">
        <f t="shared" si="23"/>
        <v>0</v>
      </c>
      <c r="AP21" s="41">
        <f t="shared" si="23"/>
        <v>0</v>
      </c>
      <c r="AQ21" s="41">
        <f t="shared" si="23"/>
        <v>200</v>
      </c>
      <c r="AR21" s="41">
        <f t="shared" si="23"/>
        <v>0</v>
      </c>
      <c r="AS21" s="41">
        <f t="shared" si="23"/>
        <v>0</v>
      </c>
      <c r="AT21" s="41">
        <f t="shared" si="23"/>
        <v>48192.984199999999</v>
      </c>
      <c r="AU21" s="70"/>
      <c r="AV21"/>
    </row>
    <row r="22" spans="1:48" ht="25" customHeight="1">
      <c r="H22" s="22"/>
      <c r="I22" s="22"/>
      <c r="AK22" s="66"/>
    </row>
    <row r="23" spans="1:48" ht="25" customHeight="1">
      <c r="V23" s="59"/>
    </row>
    <row r="24" spans="1:48" ht="25" customHeight="1">
      <c r="V24" s="60"/>
    </row>
  </sheetData>
  <sheetProtection formatColumns="0" formatRows="0" autoFilter="0"/>
  <autoFilter ref="A2:E21" xr:uid="{00000000-0009-0000-0000-000000000000}"/>
  <mergeCells count="25">
    <mergeCell ref="AR2:AR3"/>
    <mergeCell ref="AS2:AS3"/>
    <mergeCell ref="AT2:AT3"/>
    <mergeCell ref="AU2:AU3"/>
    <mergeCell ref="AG2:AJ2"/>
    <mergeCell ref="AL2:AQ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U2:U3"/>
    <mergeCell ref="V2:V3"/>
    <mergeCell ref="AK2:AK3"/>
    <mergeCell ref="A1:N1"/>
    <mergeCell ref="L2:Q2"/>
    <mergeCell ref="R2:T2"/>
    <mergeCell ref="W2:AB2"/>
    <mergeCell ref="AC2:AF2"/>
  </mergeCells>
  <phoneticPr fontId="33" type="noConversion"/>
  <conditionalFormatting sqref="A21">
    <cfRule type="duplicateValues" dxfId="25" priority="731"/>
  </conditionalFormatting>
  <conditionalFormatting sqref="B1:B3 B22:B1048576">
    <cfRule type="duplicateValues" dxfId="24" priority="1"/>
    <cfRule type="duplicateValues" dxfId="23" priority="222"/>
    <cfRule type="duplicateValues" dxfId="22" priority="432"/>
    <cfRule type="duplicateValues" dxfId="21" priority="470"/>
    <cfRule type="duplicateValues" dxfId="20" priority="556"/>
    <cfRule type="duplicateValues" dxfId="19" priority="573"/>
    <cfRule type="duplicateValues" dxfId="18" priority="619"/>
    <cfRule type="duplicateValues" dxfId="17" priority="620"/>
    <cfRule type="duplicateValues" dxfId="16" priority="647"/>
    <cfRule type="duplicateValues" dxfId="15" priority="660"/>
    <cfRule type="duplicateValues" dxfId="14" priority="661"/>
    <cfRule type="duplicateValues" dxfId="13" priority="662"/>
    <cfRule type="duplicateValues" dxfId="12" priority="663"/>
    <cfRule type="duplicateValues" dxfId="11" priority="664"/>
    <cfRule type="duplicateValues" dxfId="10" priority="672"/>
    <cfRule type="duplicateValues" dxfId="9" priority="673"/>
    <cfRule type="duplicateValues" dxfId="8" priority="752"/>
    <cfRule type="duplicateValues" dxfId="7" priority="757"/>
    <cfRule type="duplicateValues" dxfId="6" priority="773"/>
    <cfRule type="duplicateValues" dxfId="5" priority="780"/>
    <cfRule type="duplicateValues" dxfId="4" priority="790"/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13"/>
  <sheetViews>
    <sheetView workbookViewId="0">
      <selection activeCell="F19" sqref="F19"/>
    </sheetView>
  </sheetViews>
  <sheetFormatPr baseColWidth="10" defaultColWidth="9" defaultRowHeight="25" customHeight="1"/>
  <cols>
    <col min="1" max="1" width="6.83203125" style="3" customWidth="1"/>
    <col min="2" max="2" width="9.83203125" style="3" customWidth="1"/>
    <col min="3" max="3" width="11.33203125" style="3" customWidth="1"/>
    <col min="4" max="4" width="9.83203125" style="3" customWidth="1"/>
    <col min="5" max="5" width="14" style="3" customWidth="1"/>
    <col min="6" max="6" width="12.5" style="3" customWidth="1"/>
    <col min="7" max="7" width="9.1640625" style="3" customWidth="1"/>
    <col min="8" max="8" width="12" style="3" customWidth="1"/>
    <col min="9" max="9" width="10.1640625" style="3" customWidth="1"/>
    <col min="10" max="10" width="13" style="3" customWidth="1"/>
    <col min="11" max="11" width="14" style="3" customWidth="1"/>
    <col min="12" max="12" width="10.1640625" style="3" customWidth="1"/>
    <col min="13" max="13" width="12.33203125" style="3" customWidth="1"/>
    <col min="14" max="14" width="19.6640625" style="3" customWidth="1"/>
    <col min="15" max="15" width="22.5" style="3" customWidth="1"/>
    <col min="16" max="18" width="12.6640625" style="3"/>
    <col min="19" max="16384" width="9" style="3"/>
  </cols>
  <sheetData>
    <row r="1" spans="1:15" s="1" customFormat="1" ht="33" customHeight="1">
      <c r="A1" s="102" t="s">
        <v>76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</row>
    <row r="2" spans="1:15" s="2" customFormat="1" ht="24" customHeight="1">
      <c r="A2" s="106" t="s">
        <v>1</v>
      </c>
      <c r="B2" s="107" t="s">
        <v>2</v>
      </c>
      <c r="C2" s="109" t="s">
        <v>77</v>
      </c>
      <c r="D2" s="107" t="s">
        <v>4</v>
      </c>
      <c r="E2" s="111" t="s">
        <v>5</v>
      </c>
      <c r="F2" s="103" t="s">
        <v>78</v>
      </c>
      <c r="G2" s="104"/>
      <c r="H2" s="104"/>
      <c r="I2" s="104"/>
      <c r="J2" s="104"/>
      <c r="K2" s="104"/>
      <c r="L2" s="105" t="s">
        <v>79</v>
      </c>
      <c r="M2" s="105"/>
      <c r="N2" s="113" t="s">
        <v>80</v>
      </c>
      <c r="O2" s="113" t="s">
        <v>24</v>
      </c>
    </row>
    <row r="3" spans="1:15" s="2" customFormat="1" ht="30" customHeight="1">
      <c r="A3" s="106"/>
      <c r="B3" s="108"/>
      <c r="C3" s="110"/>
      <c r="D3" s="108"/>
      <c r="E3" s="112"/>
      <c r="F3" s="6" t="s">
        <v>81</v>
      </c>
      <c r="G3" s="7" t="s">
        <v>82</v>
      </c>
      <c r="H3" s="6" t="s">
        <v>83</v>
      </c>
      <c r="I3" s="6" t="s">
        <v>84</v>
      </c>
      <c r="J3" s="6" t="s">
        <v>85</v>
      </c>
      <c r="K3" s="5" t="s">
        <v>86</v>
      </c>
      <c r="L3" s="16" t="s">
        <v>87</v>
      </c>
      <c r="M3" s="4" t="s">
        <v>88</v>
      </c>
      <c r="N3" s="113"/>
      <c r="O3" s="113"/>
    </row>
    <row r="4" spans="1:15" s="1" customFormat="1" ht="25" customHeight="1">
      <c r="A4" s="8">
        <v>1</v>
      </c>
      <c r="B4" s="8"/>
      <c r="C4" s="9"/>
      <c r="D4" s="8"/>
      <c r="E4" s="10"/>
      <c r="F4" s="11"/>
      <c r="G4" s="12" t="str">
        <f>IF(F4&lt;=10000,0,"")&amp;IF(AND(F4&gt;10000,F4&lt;=20000),4%,"")&amp;IF(AND(F4&gt;20000,F4&lt;=60000),5%,"")&amp;IF(F4&gt;60000,6%,"")</f>
        <v>0</v>
      </c>
      <c r="H4" s="11">
        <f>F4*G4</f>
        <v>0</v>
      </c>
      <c r="I4" s="17">
        <v>100</v>
      </c>
      <c r="J4" s="18" t="str">
        <f>IF(I4&lt;=50,70%,"")&amp;IF(AND(I4&gt;50,I4&lt;=70),80%,"")&amp;IF(I4&gt;=90,100%,"")&amp;IF(AND(I4&gt;70,I4&lt;90),90%,"")</f>
        <v>1</v>
      </c>
      <c r="K4" s="11">
        <f>J4*H4</f>
        <v>0</v>
      </c>
      <c r="L4" s="8"/>
      <c r="M4" s="8"/>
      <c r="N4" s="11">
        <f>K4-L4-M4</f>
        <v>0</v>
      </c>
      <c r="O4" s="8"/>
    </row>
    <row r="5" spans="1:15" s="1" customFormat="1" ht="25" customHeight="1">
      <c r="A5" s="8">
        <v>2</v>
      </c>
      <c r="B5" s="8"/>
      <c r="C5" s="9"/>
      <c r="D5" s="8"/>
      <c r="E5" s="13"/>
      <c r="F5" s="11"/>
      <c r="G5" s="12" t="str">
        <f>IF(F5&lt;=10000,0,"")&amp;IF(AND(F5&gt;=10000,F5&lt;=30000),3%,"")&amp;IF(AND(F5&gt;=30001,F5&lt;=100000),4%,"")&amp;IF(F5&gt;100000,5%,"")</f>
        <v>0</v>
      </c>
      <c r="H5" s="11">
        <f>F5*G5</f>
        <v>0</v>
      </c>
      <c r="I5" s="17">
        <v>94</v>
      </c>
      <c r="J5" s="18" t="str">
        <f>IF(I5&lt;=50,70%,"")&amp;IF(AND(I5&gt;50,I5&lt;=70),80%,"")&amp;IF(I5&gt;=90,100%,"")&amp;IF(AND(I5&gt;70,I5&lt;90),90%,"")</f>
        <v>1</v>
      </c>
      <c r="K5" s="11">
        <f>J5*H5</f>
        <v>0</v>
      </c>
      <c r="L5" s="8"/>
      <c r="M5" s="8"/>
      <c r="N5" s="11">
        <f>K5-L5-M5</f>
        <v>0</v>
      </c>
      <c r="O5" s="8"/>
    </row>
    <row r="6" spans="1:15" s="1" customFormat="1" ht="25" customHeight="1">
      <c r="A6" s="14"/>
      <c r="B6" s="14"/>
      <c r="C6" s="14"/>
      <c r="D6" s="14"/>
      <c r="E6" s="14" t="s">
        <v>89</v>
      </c>
      <c r="F6" s="15"/>
      <c r="G6" s="14"/>
      <c r="H6" s="15">
        <f>SUM(H4:H5)</f>
        <v>0</v>
      </c>
      <c r="I6" s="14"/>
      <c r="J6" s="14"/>
      <c r="K6" s="15">
        <f>SUM(K4:K5)</f>
        <v>0</v>
      </c>
      <c r="L6" s="14">
        <f>SUM(L4:L5)</f>
        <v>0</v>
      </c>
      <c r="M6" s="14">
        <f>SUM(M4:M5)</f>
        <v>0</v>
      </c>
      <c r="N6" s="15">
        <f>SUM(N4:N5)</f>
        <v>0</v>
      </c>
      <c r="O6" s="14"/>
    </row>
    <row r="9" spans="1:15" ht="25" customHeight="1">
      <c r="H9"/>
    </row>
    <row r="10" spans="1:15" ht="25" customHeight="1">
      <c r="H10"/>
    </row>
    <row r="11" spans="1:15" ht="25" customHeight="1">
      <c r="H11"/>
    </row>
    <row r="12" spans="1:15" ht="25" customHeight="1">
      <c r="H12"/>
    </row>
    <row r="13" spans="1:15" ht="25" customHeight="1">
      <c r="H13"/>
    </row>
  </sheetData>
  <mergeCells count="10">
    <mergeCell ref="O2:O3"/>
    <mergeCell ref="A1:N1"/>
    <mergeCell ref="F2:K2"/>
    <mergeCell ref="L2:M2"/>
    <mergeCell ref="A2:A3"/>
    <mergeCell ref="B2:B3"/>
    <mergeCell ref="C2:C3"/>
    <mergeCell ref="D2:D3"/>
    <mergeCell ref="E2:E3"/>
    <mergeCell ref="N2:N3"/>
  </mergeCells>
  <phoneticPr fontId="33" type="noConversion"/>
  <conditionalFormatting sqref="A2">
    <cfRule type="duplicateValues" dxfId="3" priority="1"/>
  </conditionalFormatting>
  <conditionalFormatting sqref="B2">
    <cfRule type="duplicateValues" dxfId="2" priority="2"/>
  </conditionalFormatting>
  <conditionalFormatting sqref="L2">
    <cfRule type="cellIs" dxfId="1" priority="3" operator="lessThan">
      <formula>5000</formula>
    </cfRule>
  </conditionalFormatting>
  <conditionalFormatting sqref="L3">
    <cfRule type="cellIs" dxfId="0" priority="4" operator="lessThan">
      <formula>5000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店面工资核算表</vt:lpstr>
      <vt:lpstr>店长+技师老师提成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Seven</cp:lastModifiedBy>
  <dcterms:created xsi:type="dcterms:W3CDTF">2023-05-12T11:15:00Z</dcterms:created>
  <dcterms:modified xsi:type="dcterms:W3CDTF">2024-02-05T03:35:49Z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D6FC19BBFDE545B7B6EC32082A47BC1C_12</vt:lpwstr>
  </property>
  <property fmtid="{D5CDD505-2E9C-101B-9397-08002B2CF9AE}" pid="4" name="KSOReadingLayout">
    <vt:bool>true</vt:bool>
  </property>
</Properties>
</file>