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500"/>
  </bookViews>
  <sheets>
    <sheet name="店面工资核算表" sheetId="1" r:id="rId1"/>
    <sheet name="店长+技师老师提成" sheetId="3" r:id="rId2"/>
    <sheet name="技术老师奖励" sheetId="4" r:id="rId3"/>
  </sheets>
  <definedNames>
    <definedName name="_xlnm._FilterDatabase" localSheetId="0" hidden="1">店面工资核算表!$A$2:$E$24</definedName>
  </definedNames>
  <calcPr calcId="144525"/>
</workbook>
</file>

<file path=xl/comments1.xml><?xml version="1.0" encoding="utf-8"?>
<comments xmlns="http://schemas.openxmlformats.org/spreadsheetml/2006/main">
  <authors>
    <author>Administrator</author>
    <author>NING MEI</author>
    <author>财务老师</author>
  </authors>
  <commentList>
    <comment ref="W3" authorId="0">
      <text>
        <r>
          <rPr>
            <sz val="9"/>
            <rFont val="宋体"/>
            <charset val="134"/>
          </rPr>
          <t>加班费</t>
        </r>
      </text>
    </comment>
    <comment ref="Z3" authorId="0">
      <text>
        <r>
          <rPr>
            <sz val="9"/>
            <rFont val="宋体"/>
            <charset val="134"/>
          </rPr>
          <t>全勤奖、培训补贴</t>
        </r>
      </text>
    </comment>
    <comment ref="AA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技师开卡金额是精英班奖励</t>
        </r>
      </text>
    </comment>
    <comment ref="AB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美团评价</t>
        </r>
      </text>
    </comment>
    <comment ref="AD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未达标包含：前台好评率
技师点客率、客诉、差评、点客率
</t>
        </r>
      </text>
    </comment>
    <comment ref="AE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未达标包含：前台好评率
技师点客率、客诉、差评、点客率
</t>
        </r>
      </text>
    </comment>
    <comment ref="AJ3" authorId="2">
      <text/>
    </comment>
    <comment ref="Z8" authorId="2">
      <text>
        <r>
          <rPr>
            <sz val="9"/>
            <rFont val="宋体"/>
            <charset val="134"/>
          </rPr>
          <t>煮糖水补贴</t>
        </r>
      </text>
    </comment>
    <comment ref="W14" authorId="2">
      <text>
        <r>
          <rPr>
            <sz val="9"/>
            <rFont val="宋体"/>
            <charset val="134"/>
          </rPr>
          <t>技师奖励</t>
        </r>
      </text>
    </comment>
  </commentList>
</comments>
</file>

<file path=xl/sharedStrings.xml><?xml version="1.0" encoding="utf-8"?>
<sst xmlns="http://schemas.openxmlformats.org/spreadsheetml/2006/main" count="168" uniqueCount="122">
  <si>
    <t>2024年5月十三绝玉林万达店人员工资</t>
  </si>
  <si>
    <t>序号</t>
  </si>
  <si>
    <t>姓名</t>
  </si>
  <si>
    <t>正式上钟日期</t>
  </si>
  <si>
    <t>所属店铺</t>
  </si>
  <si>
    <t>岗位</t>
  </si>
  <si>
    <t>应出勤天数</t>
  </si>
  <si>
    <t>实际出勤天数</t>
  </si>
  <si>
    <t>应发底薪</t>
  </si>
  <si>
    <t>实发底薪</t>
  </si>
  <si>
    <t>津贴</t>
  </si>
  <si>
    <t>总劳动业绩</t>
  </si>
  <si>
    <t>业绩提成</t>
  </si>
  <si>
    <t>开卡充值、套餐提成</t>
  </si>
  <si>
    <t>基础提成</t>
  </si>
  <si>
    <t>工资小计</t>
  </si>
  <si>
    <t>加福利补贴项：</t>
  </si>
  <si>
    <t>减津贴考核项：</t>
  </si>
  <si>
    <t>减其他补贴扣款明细：</t>
  </si>
  <si>
    <t>应发工资合计</t>
  </si>
  <si>
    <t>减公司代付代缴项</t>
  </si>
  <si>
    <t>减预支</t>
  </si>
  <si>
    <t>预留款</t>
  </si>
  <si>
    <t>实际发放</t>
  </si>
  <si>
    <t>备注</t>
  </si>
  <si>
    <t>指定业绩</t>
  </si>
  <si>
    <t>指定提成点</t>
  </si>
  <si>
    <t>指定提成</t>
  </si>
  <si>
    <t>非指定业绩</t>
  </si>
  <si>
    <t>非指定提成点</t>
  </si>
  <si>
    <t>非指定提成</t>
  </si>
  <si>
    <t>开卡总金额</t>
  </si>
  <si>
    <t>开卡提成点</t>
  </si>
  <si>
    <t>开卡提成</t>
  </si>
  <si>
    <t>加奖金</t>
  </si>
  <si>
    <t>加证书补贴</t>
  </si>
  <si>
    <t>加工龄补贴</t>
  </si>
  <si>
    <t>加岗位补贴</t>
  </si>
  <si>
    <t>加门店充值奖励</t>
  </si>
  <si>
    <t>加美团/抖音奖励</t>
  </si>
  <si>
    <t>减点客未达标</t>
  </si>
  <si>
    <t>减业绩未达标</t>
  </si>
  <si>
    <t>减充值未达标</t>
  </si>
  <si>
    <t>减好评未达标</t>
  </si>
  <si>
    <t>减差评客诉</t>
  </si>
  <si>
    <t>减请假/迟到</t>
  </si>
  <si>
    <t>其他扣补贴明细/未达标</t>
  </si>
  <si>
    <t>减绩效</t>
  </si>
  <si>
    <t>减餐费</t>
  </si>
  <si>
    <t>减水电物业</t>
  </si>
  <si>
    <t>减房费</t>
  </si>
  <si>
    <t>减社保</t>
  </si>
  <si>
    <t>减个税</t>
  </si>
  <si>
    <t>减工服</t>
  </si>
  <si>
    <t>庞宗媛</t>
  </si>
  <si>
    <t>玉林万达</t>
  </si>
  <si>
    <t>店长</t>
  </si>
  <si>
    <t>陈思晓</t>
  </si>
  <si>
    <t>前台</t>
  </si>
  <si>
    <t>麦显银</t>
  </si>
  <si>
    <t>谢林君</t>
  </si>
  <si>
    <t>杨健坤</t>
  </si>
  <si>
    <t>保洁</t>
  </si>
  <si>
    <t>莫兰</t>
  </si>
  <si>
    <t>财务</t>
  </si>
  <si>
    <t>唐善连</t>
  </si>
  <si>
    <t>技师</t>
  </si>
  <si>
    <t>梁锡模</t>
  </si>
  <si>
    <t>叶娟秀</t>
  </si>
  <si>
    <t>夏亚清</t>
  </si>
  <si>
    <t>谭庆彬</t>
  </si>
  <si>
    <t>技术老师</t>
  </si>
  <si>
    <t>庞文海</t>
  </si>
  <si>
    <t>符崇贤</t>
  </si>
  <si>
    <t>陈鑫</t>
  </si>
  <si>
    <t>宁文波</t>
  </si>
  <si>
    <t>林燕</t>
  </si>
  <si>
    <t>梁仪知</t>
  </si>
  <si>
    <t>补贴</t>
  </si>
  <si>
    <t>韦大鹏</t>
  </si>
  <si>
    <t>滕春秀</t>
  </si>
  <si>
    <t>十三绝2024年3月份店长提成</t>
  </si>
  <si>
    <t>入职日期</t>
  </si>
  <si>
    <t>利润奖励</t>
  </si>
  <si>
    <t>考核扣款项</t>
  </si>
  <si>
    <t>绩效汇总</t>
  </si>
  <si>
    <t>利润总额</t>
  </si>
  <si>
    <t>奖励点</t>
  </si>
  <si>
    <t>利润提成</t>
  </si>
  <si>
    <t>评分</t>
  </si>
  <si>
    <t>提成发放百分比</t>
  </si>
  <si>
    <t>实际利润提成</t>
  </si>
  <si>
    <t>减差评</t>
  </si>
  <si>
    <t>减客诉</t>
  </si>
  <si>
    <t>合计</t>
  </si>
  <si>
    <t>技术老师奖励</t>
  </si>
  <si>
    <t>点客量</t>
  </si>
  <si>
    <t>接待量</t>
  </si>
  <si>
    <t>门店</t>
  </si>
  <si>
    <t>柳州店</t>
  </si>
  <si>
    <t>玉林店</t>
  </si>
  <si>
    <t>云景店</t>
  </si>
  <si>
    <t>东盟店</t>
  </si>
  <si>
    <t>五象店</t>
  </si>
  <si>
    <t>埌西店</t>
  </si>
  <si>
    <t>东葛店</t>
  </si>
  <si>
    <t>柳沙店</t>
  </si>
  <si>
    <t>青秀万达</t>
  </si>
  <si>
    <t>航洋店</t>
  </si>
  <si>
    <t>项目</t>
  </si>
  <si>
    <t>点客率</t>
  </si>
  <si>
    <t>平衡点</t>
  </si>
  <si>
    <t>每下降</t>
  </si>
  <si>
    <t>惩罚</t>
  </si>
  <si>
    <t>每提升</t>
  </si>
  <si>
    <t>奖励</t>
  </si>
  <si>
    <t>目前平均值</t>
  </si>
  <si>
    <t>目标值</t>
  </si>
  <si>
    <t>增幅</t>
  </si>
  <si>
    <t>达成奖励额</t>
  </si>
  <si>
    <t>三个月后更新平衡点为15%</t>
  </si>
  <si>
    <t>固定+2000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</si>
</sst>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  <numFmt numFmtId="178" formatCode="yyyy/m/d;@"/>
    <numFmt numFmtId="179" formatCode="0.0_ "/>
    <numFmt numFmtId="180" formatCode="_ * #,##0.0_ ;_ * \-#,##0.0_ ;_ * &quot;-&quot;?_ ;_ @_ "/>
  </numFmts>
  <fonts count="60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0"/>
      <color theme="1"/>
      <name val="宋体"/>
      <charset val="134"/>
      <scheme val="major"/>
    </font>
    <font>
      <b/>
      <sz val="18"/>
      <color theme="1"/>
      <name val="黑体"/>
      <charset val="134"/>
    </font>
    <font>
      <b/>
      <sz val="10"/>
      <color theme="0"/>
      <name val="宋体"/>
      <charset val="134"/>
      <scheme val="major"/>
    </font>
    <font>
      <sz val="10"/>
      <color theme="1"/>
      <name val="黑体"/>
      <charset val="134"/>
    </font>
    <font>
      <sz val="11"/>
      <color indexed="8"/>
      <name val="黑体"/>
      <charset val="134"/>
    </font>
    <font>
      <sz val="11"/>
      <color theme="9" tint="-0.25"/>
      <name val="黑体"/>
      <charset val="134"/>
    </font>
    <font>
      <sz val="9"/>
      <color theme="1"/>
      <name val="宋体"/>
      <charset val="134"/>
      <scheme val="minor"/>
    </font>
    <font>
      <sz val="11"/>
      <name val="黑体"/>
      <charset val="134"/>
    </font>
    <font>
      <sz val="11"/>
      <color theme="3"/>
      <name val="黑体"/>
      <charset val="134"/>
    </font>
    <font>
      <sz val="11"/>
      <color theme="4" tint="-0.25"/>
      <name val="黑体"/>
      <charset val="134"/>
    </font>
    <font>
      <sz val="11"/>
      <name val="宋体"/>
      <charset val="134"/>
      <scheme val="minor"/>
    </font>
    <font>
      <b/>
      <sz val="20"/>
      <color rgb="FF000000"/>
      <name val="黑体"/>
      <charset val="134"/>
    </font>
    <font>
      <b/>
      <sz val="20"/>
      <name val="黑体"/>
      <charset val="134"/>
    </font>
    <font>
      <b/>
      <sz val="10"/>
      <name val="宋体"/>
      <charset val="134"/>
    </font>
    <font>
      <b/>
      <sz val="9"/>
      <name val="宋体"/>
      <charset val="134"/>
    </font>
    <font>
      <b/>
      <sz val="9"/>
      <color rgb="FF000000"/>
      <name val="宋体"/>
      <charset val="134"/>
    </font>
    <font>
      <b/>
      <sz val="8"/>
      <color rgb="FF000000"/>
      <name val="宋体"/>
      <charset val="134"/>
    </font>
    <font>
      <b/>
      <sz val="10"/>
      <name val="黑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9"/>
      <name val="宋体"/>
      <charset val="134"/>
    </font>
    <font>
      <sz val="11"/>
      <name val="宋体"/>
      <charset val="134"/>
      <scheme val="major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3"/>
      <name val="黑体"/>
      <charset val="134"/>
    </font>
    <font>
      <b/>
      <sz val="10"/>
      <color theme="3"/>
      <name val="黑体"/>
      <charset val="134"/>
    </font>
    <font>
      <b/>
      <sz val="10"/>
      <color theme="4" tint="-0.25"/>
      <name val="黑体"/>
      <charset val="134"/>
    </font>
    <font>
      <b/>
      <sz val="20"/>
      <color theme="4" tint="-0.25"/>
      <name val="黑体"/>
      <charset val="134"/>
    </font>
    <font>
      <sz val="10"/>
      <color theme="1"/>
      <name val="宋体"/>
      <charset val="134"/>
      <scheme val="minor"/>
    </font>
    <font>
      <b/>
      <sz val="14"/>
      <color rgb="FF000000"/>
      <name val="黑体"/>
      <charset val="134"/>
    </font>
    <font>
      <b/>
      <sz val="6"/>
      <color rgb="FF000000"/>
      <name val="黑体"/>
      <charset val="134"/>
    </font>
    <font>
      <b/>
      <sz val="11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6" borderId="10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7" borderId="13" applyNumberFormat="0" applyAlignment="0" applyProtection="0">
      <alignment vertical="center"/>
    </xf>
    <xf numFmtId="0" fontId="46" fillId="18" borderId="14" applyNumberFormat="0" applyAlignment="0" applyProtection="0">
      <alignment vertical="center"/>
    </xf>
    <xf numFmtId="0" fontId="47" fillId="18" borderId="13" applyNumberFormat="0" applyAlignment="0" applyProtection="0">
      <alignment vertical="center"/>
    </xf>
    <xf numFmtId="0" fontId="48" fillId="19" borderId="15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3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6" fillId="0" borderId="0"/>
  </cellStyleXfs>
  <cellXfs count="127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NumberFormat="1" applyFont="1" applyFill="1" applyBorder="1" applyAlignment="1" applyProtection="1">
      <alignment horizontal="center" vertical="center"/>
    </xf>
    <xf numFmtId="0" fontId="0" fillId="4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9" fontId="0" fillId="5" borderId="1" xfId="0" applyNumberForma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2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177" fontId="6" fillId="8" borderId="3" xfId="49" applyNumberFormat="1" applyFont="1" applyFill="1" applyBorder="1" applyAlignment="1" applyProtection="1">
      <alignment horizontal="center" vertical="center" wrapText="1" shrinkToFit="1"/>
      <protection hidden="1"/>
    </xf>
    <xf numFmtId="177" fontId="6" fillId="8" borderId="4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5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177" fontId="6" fillId="8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8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/>
    </xf>
    <xf numFmtId="43" fontId="8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177" fontId="3" fillId="9" borderId="1" xfId="0" applyNumberFormat="1" applyFont="1" applyFill="1" applyBorder="1" applyAlignment="1">
      <alignment horizontal="center" vertical="center"/>
    </xf>
    <xf numFmtId="0" fontId="6" fillId="7" borderId="4" xfId="49" applyNumberFormat="1" applyFont="1" applyFill="1" applyBorder="1" applyAlignment="1" applyProtection="1">
      <alignment horizontal="center" vertical="center" wrapText="1" shrinkToFit="1"/>
      <protection hidden="1"/>
    </xf>
    <xf numFmtId="177" fontId="6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6" xfId="49" applyNumberFormat="1" applyFont="1" applyFill="1" applyBorder="1" applyAlignment="1" applyProtection="1">
      <alignment horizontal="center" vertical="center" wrapText="1" shrinkToFit="1"/>
      <protection hidden="1"/>
    </xf>
    <xf numFmtId="0" fontId="9" fillId="0" borderId="1" xfId="0" applyFont="1" applyBorder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 applyProtection="1">
      <alignment vertical="center"/>
    </xf>
    <xf numFmtId="0" fontId="0" fillId="0" borderId="0" xfId="0" applyFont="1" applyFill="1" applyAlignment="1" applyProtection="1">
      <alignment horizontal="center" vertical="center"/>
    </xf>
    <xf numFmtId="0" fontId="10" fillId="0" borderId="0" xfId="0" applyFont="1" applyFill="1" applyAlignment="1" applyProtection="1">
      <alignment horizontal="center" vertical="center"/>
    </xf>
    <xf numFmtId="43" fontId="11" fillId="0" borderId="0" xfId="0" applyNumberFormat="1" applyFont="1" applyFill="1" applyAlignment="1" applyProtection="1">
      <alignment horizontal="center" vertical="center"/>
    </xf>
    <xf numFmtId="43" fontId="12" fillId="0" borderId="0" xfId="0" applyNumberFormat="1" applyFont="1" applyFill="1" applyAlignment="1" applyProtection="1">
      <alignment horizontal="center" vertical="center"/>
    </xf>
    <xf numFmtId="43" fontId="0" fillId="0" borderId="0" xfId="0" applyNumberFormat="1" applyFont="1" applyFill="1" applyAlignment="1" applyProtection="1">
      <alignment vertical="center"/>
    </xf>
    <xf numFmtId="43" fontId="0" fillId="0" borderId="0" xfId="0" applyNumberFormat="1" applyFont="1" applyFill="1" applyAlignment="1" applyProtection="1">
      <alignment horizontal="center" vertical="center"/>
    </xf>
    <xf numFmtId="9" fontId="0" fillId="0" borderId="0" xfId="0" applyNumberFormat="1" applyFont="1" applyFill="1" applyAlignment="1" applyProtection="1">
      <alignment vertical="center"/>
    </xf>
    <xf numFmtId="0" fontId="13" fillId="0" borderId="0" xfId="0" applyFont="1" applyFill="1" applyAlignment="1" applyProtection="1">
      <alignment horizontal="center" vertical="center"/>
    </xf>
    <xf numFmtId="0" fontId="13" fillId="0" borderId="0" xfId="0" applyFont="1" applyFill="1" applyAlignment="1" applyProtection="1">
      <alignment vertical="center"/>
    </xf>
    <xf numFmtId="0" fontId="14" fillId="0" borderId="0" xfId="0" applyFont="1" applyFill="1" applyAlignment="1" applyProtection="1">
      <alignment vertical="center"/>
    </xf>
    <xf numFmtId="179" fontId="13" fillId="0" borderId="0" xfId="0" applyNumberFormat="1" applyFont="1" applyFill="1" applyAlignment="1" applyProtection="1">
      <alignment vertical="center"/>
    </xf>
    <xf numFmtId="0" fontId="0" fillId="0" borderId="0" xfId="0" applyFont="1" applyFill="1" applyAlignment="1" applyProtection="1">
      <alignment vertical="center" wrapText="1"/>
    </xf>
    <xf numFmtId="0" fontId="15" fillId="0" borderId="7" xfId="0" applyFont="1" applyFill="1" applyBorder="1" applyAlignment="1" applyProtection="1">
      <alignment horizontal="center" vertical="center"/>
    </xf>
    <xf numFmtId="0" fontId="15" fillId="0" borderId="8" xfId="0" applyFont="1" applyFill="1" applyBorder="1" applyAlignment="1" applyProtection="1">
      <alignment horizontal="center" vertical="center"/>
    </xf>
    <xf numFmtId="43" fontId="16" fillId="0" borderId="8" xfId="0" applyNumberFormat="1" applyFont="1" applyFill="1" applyBorder="1" applyAlignment="1" applyProtection="1">
      <alignment horizontal="center" vertical="center"/>
    </xf>
    <xf numFmtId="0" fontId="17" fillId="10" borderId="1" xfId="49" applyFont="1" applyFill="1" applyBorder="1" applyAlignment="1" applyProtection="1">
      <alignment horizontal="center" vertical="center" wrapText="1" shrinkToFit="1"/>
      <protection hidden="1"/>
    </xf>
    <xf numFmtId="0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18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19" fillId="10" borderId="1" xfId="0" applyFont="1" applyFill="1" applyBorder="1" applyAlignment="1" applyProtection="1">
      <alignment horizontal="center" vertical="center" wrapText="1"/>
    </xf>
    <xf numFmtId="0" fontId="20" fillId="10" borderId="1" xfId="0" applyFont="1" applyFill="1" applyBorder="1" applyAlignment="1" applyProtection="1">
      <alignment horizontal="center" vertical="center" wrapText="1"/>
    </xf>
    <xf numFmtId="0" fontId="17" fillId="10" borderId="1" xfId="0" applyFont="1" applyFill="1" applyBorder="1" applyAlignment="1" applyProtection="1">
      <alignment horizontal="center" vertical="center" wrapText="1" shrinkToFit="1"/>
      <protection hidden="1"/>
    </xf>
    <xf numFmtId="43" fontId="21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22" fillId="11" borderId="1" xfId="0" applyFont="1" applyFill="1" applyBorder="1" applyAlignment="1" applyProtection="1">
      <alignment horizontal="center" vertical="center"/>
    </xf>
    <xf numFmtId="0" fontId="23" fillId="0" borderId="1" xfId="0" applyFont="1" applyFill="1" applyBorder="1" applyAlignment="1" applyProtection="1">
      <alignment horizontal="center" vertical="center"/>
      <protection locked="0"/>
    </xf>
    <xf numFmtId="178" fontId="22" fillId="0" borderId="1" xfId="0" applyNumberFormat="1" applyFont="1" applyFill="1" applyBorder="1" applyAlignment="1" applyProtection="1">
      <alignment horizontal="center" vertical="center"/>
    </xf>
    <xf numFmtId="0" fontId="24" fillId="11" borderId="1" xfId="0" applyFont="1" applyFill="1" applyBorder="1" applyAlignment="1" applyProtection="1">
      <alignment horizontal="center" vertical="center" wrapText="1"/>
    </xf>
    <xf numFmtId="41" fontId="22" fillId="0" borderId="1" xfId="0" applyNumberFormat="1" applyFont="1" applyFill="1" applyBorder="1" applyAlignment="1" applyProtection="1">
      <alignment horizontal="center" vertical="center"/>
    </xf>
    <xf numFmtId="180" fontId="22" fillId="0" borderId="1" xfId="0" applyNumberFormat="1" applyFont="1" applyFill="1" applyBorder="1" applyAlignment="1" applyProtection="1">
      <alignment horizontal="center" vertical="center"/>
    </xf>
    <xf numFmtId="43" fontId="22" fillId="0" borderId="1" xfId="0" applyNumberFormat="1" applyFont="1" applyFill="1" applyBorder="1" applyAlignment="1" applyProtection="1">
      <alignment horizontal="center" vertical="center"/>
    </xf>
    <xf numFmtId="0" fontId="25" fillId="0" borderId="1" xfId="0" applyFont="1" applyFill="1" applyBorder="1" applyAlignment="1" applyProtection="1">
      <alignment horizontal="center" vertical="center"/>
      <protection locked="0"/>
    </xf>
    <xf numFmtId="43" fontId="23" fillId="0" borderId="1" xfId="0" applyNumberFormat="1" applyFont="1" applyFill="1" applyBorder="1" applyAlignment="1" applyProtection="1">
      <alignment horizontal="center" vertical="center"/>
    </xf>
    <xf numFmtId="0" fontId="26" fillId="0" borderId="1" xfId="0" applyFont="1" applyFill="1" applyBorder="1" applyAlignment="1" applyProtection="1">
      <alignment horizontal="center" vertical="center" wrapText="1"/>
      <protection locked="0"/>
    </xf>
    <xf numFmtId="178" fontId="22" fillId="12" borderId="1" xfId="0" applyNumberFormat="1" applyFont="1" applyFill="1" applyBorder="1" applyAlignment="1" applyProtection="1">
      <alignment horizontal="center" vertical="center"/>
    </xf>
    <xf numFmtId="0" fontId="27" fillId="13" borderId="1" xfId="0" applyNumberFormat="1" applyFont="1" applyFill="1" applyBorder="1" applyAlignment="1" applyProtection="1">
      <alignment horizontal="center" vertical="center"/>
    </xf>
    <xf numFmtId="43" fontId="11" fillId="13" borderId="1" xfId="0" applyNumberFormat="1" applyFont="1" applyFill="1" applyBorder="1" applyAlignment="1" applyProtection="1">
      <alignment horizontal="center" vertical="center"/>
    </xf>
    <xf numFmtId="43" fontId="28" fillId="0" borderId="8" xfId="0" applyNumberFormat="1" applyFont="1" applyFill="1" applyBorder="1" applyAlignment="1" applyProtection="1">
      <alignment horizontal="center" vertical="center"/>
    </xf>
    <xf numFmtId="43" fontId="15" fillId="0" borderId="8" xfId="0" applyNumberFormat="1" applyFont="1" applyFill="1" applyBorder="1" applyAlignment="1" applyProtection="1">
      <alignment horizontal="center" vertical="center"/>
    </xf>
    <xf numFmtId="9" fontId="15" fillId="0" borderId="8" xfId="0" applyNumberFormat="1" applyFont="1" applyFill="1" applyBorder="1" applyAlignment="1" applyProtection="1">
      <alignment horizontal="center" vertical="center"/>
    </xf>
    <xf numFmtId="0" fontId="15" fillId="0" borderId="8" xfId="0" applyFont="1" applyFill="1" applyBorder="1" applyAlignment="1" applyProtection="1">
      <alignment vertical="center"/>
    </xf>
    <xf numFmtId="43" fontId="21" fillId="10" borderId="2" xfId="49" applyNumberFormat="1" applyFont="1" applyFill="1" applyBorder="1" applyAlignment="1" applyProtection="1">
      <alignment horizontal="center" vertical="center" wrapText="1" shrinkToFit="1"/>
      <protection hidden="1"/>
    </xf>
    <xf numFmtId="43" fontId="29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9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177" fontId="30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177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21" fillId="10" borderId="5" xfId="49" applyNumberFormat="1" applyFont="1" applyFill="1" applyBorder="1" applyAlignment="1" applyProtection="1">
      <alignment horizontal="center" vertical="center" wrapText="1" shrinkToFit="1"/>
      <protection hidden="1"/>
    </xf>
    <xf numFmtId="43" fontId="12" fillId="0" borderId="1" xfId="0" applyNumberFormat="1" applyFont="1" applyFill="1" applyBorder="1" applyAlignment="1" applyProtection="1">
      <alignment horizontal="center" vertical="center"/>
    </xf>
    <xf numFmtId="9" fontId="22" fillId="0" borderId="1" xfId="0" applyNumberFormat="1" applyFont="1" applyFill="1" applyBorder="1" applyAlignment="1" applyProtection="1">
      <alignment horizontal="center" vertical="center"/>
    </xf>
    <xf numFmtId="177" fontId="13" fillId="0" borderId="1" xfId="0" applyNumberFormat="1" applyFont="1" applyFill="1" applyBorder="1" applyAlignment="1" applyProtection="1">
      <alignment horizontal="center" vertical="center"/>
    </xf>
    <xf numFmtId="9" fontId="22" fillId="0" borderId="1" xfId="0" applyNumberFormat="1" applyFont="1" applyFill="1" applyBorder="1" applyAlignment="1" applyProtection="1">
      <alignment horizontal="right" vertical="center"/>
    </xf>
    <xf numFmtId="0" fontId="22" fillId="0" borderId="1" xfId="0" applyNumberFormat="1" applyFont="1" applyFill="1" applyBorder="1" applyAlignment="1" applyProtection="1">
      <alignment horizontal="center" vertical="center"/>
    </xf>
    <xf numFmtId="0" fontId="31" fillId="0" borderId="8" xfId="0" applyFont="1" applyFill="1" applyBorder="1" applyAlignment="1" applyProtection="1">
      <alignment vertical="center"/>
    </xf>
    <xf numFmtId="179" fontId="30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30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177" fontId="21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17" fillId="10" borderId="3" xfId="49" applyNumberFormat="1" applyFont="1" applyFill="1" applyBorder="1" applyAlignment="1" applyProtection="1">
      <alignment horizontal="center" vertical="center" wrapText="1" shrinkToFit="1"/>
      <protection hidden="1"/>
    </xf>
    <xf numFmtId="0" fontId="17" fillId="10" borderId="4" xfId="49" applyNumberFormat="1" applyFont="1" applyFill="1" applyBorder="1" applyAlignment="1" applyProtection="1">
      <alignment horizontal="center" vertical="center" wrapText="1" shrinkToFit="1"/>
      <protection hidden="1"/>
    </xf>
    <xf numFmtId="177" fontId="13" fillId="0" borderId="1" xfId="0" applyNumberFormat="1" applyFont="1" applyFill="1" applyBorder="1" applyAlignment="1" applyProtection="1">
      <alignment horizontal="right" vertical="center"/>
    </xf>
    <xf numFmtId="177" fontId="11" fillId="14" borderId="1" xfId="0" applyNumberFormat="1" applyFont="1" applyFill="1" applyBorder="1" applyAlignment="1" applyProtection="1">
      <alignment horizontal="right" vertical="center"/>
    </xf>
    <xf numFmtId="177" fontId="32" fillId="0" borderId="0" xfId="0" applyNumberFormat="1" applyFont="1" applyFill="1" applyAlignment="1" applyProtection="1">
      <alignment vertical="center"/>
    </xf>
    <xf numFmtId="177" fontId="10" fillId="0" borderId="0" xfId="0" applyNumberFormat="1" applyFont="1" applyFill="1" applyAlignment="1" applyProtection="1">
      <alignment vertical="center"/>
    </xf>
    <xf numFmtId="0" fontId="33" fillId="0" borderId="8" xfId="0" applyFont="1" applyFill="1" applyBorder="1" applyAlignment="1" applyProtection="1">
      <alignment vertical="center"/>
    </xf>
    <xf numFmtId="10" fontId="34" fillId="0" borderId="8" xfId="0" applyNumberFormat="1" applyFont="1" applyFill="1" applyBorder="1" applyAlignment="1" applyProtection="1">
      <alignment horizontal="center" vertical="center"/>
    </xf>
    <xf numFmtId="0" fontId="17" fillId="10" borderId="6" xfId="49" applyNumberFormat="1" applyFont="1" applyFill="1" applyBorder="1" applyAlignment="1" applyProtection="1">
      <alignment horizontal="center" vertical="center" wrapText="1" shrinkToFit="1"/>
      <protection hidden="1"/>
    </xf>
    <xf numFmtId="177" fontId="35" fillId="10" borderId="3" xfId="49" applyNumberFormat="1" applyFont="1" applyFill="1" applyBorder="1" applyAlignment="1" applyProtection="1">
      <alignment horizontal="center" vertical="center" wrapText="1" shrinkToFit="1"/>
      <protection hidden="1"/>
    </xf>
    <xf numFmtId="177" fontId="35" fillId="10" borderId="4" xfId="49" applyNumberFormat="1" applyFont="1" applyFill="1" applyBorder="1" applyAlignment="1" applyProtection="1">
      <alignment horizontal="center" vertical="center" wrapText="1" shrinkToFit="1"/>
      <protection hidden="1"/>
    </xf>
    <xf numFmtId="177" fontId="35" fillId="10" borderId="6" xfId="49" applyNumberFormat="1" applyFont="1" applyFill="1" applyBorder="1" applyAlignment="1" applyProtection="1">
      <alignment horizontal="center" vertical="center" wrapText="1" shrinkToFit="1"/>
      <protection hidden="1"/>
    </xf>
    <xf numFmtId="179" fontId="18" fillId="10" borderId="1" xfId="0" applyNumberFormat="1" applyFont="1" applyFill="1" applyBorder="1" applyAlignment="1" applyProtection="1">
      <alignment horizontal="center" vertical="center" wrapText="1" shrinkToFit="1"/>
      <protection hidden="1"/>
    </xf>
    <xf numFmtId="177" fontId="35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179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11" fillId="15" borderId="1" xfId="0" applyNumberFormat="1" applyFont="1" applyFill="1" applyBorder="1" applyAlignment="1" applyProtection="1">
      <alignment vertical="center"/>
    </xf>
    <xf numFmtId="58" fontId="0" fillId="0" borderId="0" xfId="0" applyNumberFormat="1" applyFont="1" applyFill="1" applyAlignment="1" applyProtection="1">
      <alignment vertical="center"/>
    </xf>
    <xf numFmtId="0" fontId="15" fillId="0" borderId="9" xfId="0" applyFont="1" applyFill="1" applyBorder="1" applyAlignment="1" applyProtection="1">
      <alignment vertical="center"/>
    </xf>
    <xf numFmtId="177" fontId="21" fillId="10" borderId="6" xfId="49" applyNumberFormat="1" applyFont="1" applyFill="1" applyBorder="1" applyAlignment="1" applyProtection="1">
      <alignment horizontal="center" vertical="center" wrapText="1" shrinkToFit="1"/>
      <protection hidden="1"/>
    </xf>
    <xf numFmtId="0" fontId="18" fillId="10" borderId="1" xfId="0" applyFont="1" applyFill="1" applyBorder="1" applyAlignment="1" applyProtection="1">
      <alignment horizontal="center" vertical="center" wrapText="1" shrinkToFit="1"/>
      <protection hidden="1"/>
    </xf>
    <xf numFmtId="0" fontId="24" fillId="0" borderId="1" xfId="0" applyFont="1" applyFill="1" applyBorder="1" applyAlignment="1" applyProtection="1">
      <alignment vertical="center" wrapText="1"/>
    </xf>
    <xf numFmtId="0" fontId="36" fillId="13" borderId="1" xfId="0" applyFont="1" applyFill="1" applyBorder="1" applyAlignment="1" applyProtection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7"/>
  <sheetViews>
    <sheetView tabSelected="1" workbookViewId="0">
      <pane xSplit="2" ySplit="3" topLeftCell="AB10" activePane="bottomRight" state="frozen"/>
      <selection/>
      <selection pane="topRight"/>
      <selection pane="bottomLeft"/>
      <selection pane="bottomRight" activeCell="AT25" sqref="AT25"/>
    </sheetView>
  </sheetViews>
  <sheetFormatPr defaultColWidth="9" defaultRowHeight="14.4"/>
  <cols>
    <col min="1" max="1" width="4.12962962962963" style="50" customWidth="1"/>
    <col min="2" max="2" width="7" style="50" customWidth="1"/>
    <col min="3" max="3" width="12.5" style="50" customWidth="1"/>
    <col min="4" max="4" width="8.4537037037037" style="51" customWidth="1"/>
    <col min="5" max="5" width="7.12962962962963" style="51" customWidth="1"/>
    <col min="6" max="6" width="8.12962962962963" style="49" customWidth="1"/>
    <col min="7" max="7" width="11.1296296296296" style="50" customWidth="1"/>
    <col min="8" max="9" width="12.6296296296296" style="52" customWidth="1"/>
    <col min="10" max="10" width="12" style="53" customWidth="1"/>
    <col min="11" max="11" width="13.8796296296296" style="54" customWidth="1"/>
    <col min="12" max="12" width="12.8796296296296" style="55" customWidth="1"/>
    <col min="13" max="13" width="6.37962962962963" style="56" customWidth="1"/>
    <col min="14" max="14" width="12.3333333333333" style="57" customWidth="1"/>
    <col min="15" max="15" width="12.3796296296296" style="50" customWidth="1"/>
    <col min="16" max="16" width="7.37962962962963" style="49" customWidth="1"/>
    <col min="17" max="17" width="12.1296296296296" style="58" customWidth="1"/>
    <col min="18" max="18" width="12.2592592592593" style="59" customWidth="1"/>
    <col min="19" max="19" width="7.62962962962963" style="49" customWidth="1"/>
    <col min="20" max="20" width="10.2592592592593" style="60" customWidth="1"/>
    <col min="21" max="21" width="12.1296296296296" style="57" customWidth="1"/>
    <col min="22" max="22" width="12.6296296296296" style="49" customWidth="1"/>
    <col min="23" max="23" width="10.6296296296296" style="50" customWidth="1"/>
    <col min="24" max="25" width="6.37962962962963" style="50" customWidth="1"/>
    <col min="26" max="26" width="10.7592592592593" style="50" customWidth="1"/>
    <col min="27" max="27" width="12.1296296296296" style="50" customWidth="1"/>
    <col min="28" max="28" width="11" style="50" customWidth="1"/>
    <col min="29" max="29" width="9.62962962962963" style="49" customWidth="1"/>
    <col min="30" max="30" width="6.37962962962963" style="50" customWidth="1"/>
    <col min="31" max="31" width="7.12962962962963" style="50" customWidth="1"/>
    <col min="32" max="32" width="8.87962962962963" style="50" customWidth="1"/>
    <col min="33" max="33" width="9.12962962962963" style="49" customWidth="1"/>
    <col min="34" max="34" width="10.2222222222222" style="50" customWidth="1"/>
    <col min="35" max="35" width="9.62962962962963" style="49" customWidth="1"/>
    <col min="36" max="36" width="10.1296296296296" style="50" customWidth="1"/>
    <col min="37" max="37" width="12.6296296296296" style="49" customWidth="1"/>
    <col min="38" max="38" width="11" style="50" customWidth="1"/>
    <col min="39" max="39" width="6.37962962962963" style="50" customWidth="1"/>
    <col min="40" max="40" width="9.37962962962963" style="50" customWidth="1"/>
    <col min="41" max="41" width="6.37962962962963" style="49" customWidth="1"/>
    <col min="42" max="42" width="6.37962962962963" style="50" customWidth="1"/>
    <col min="43" max="43" width="12.1296296296296" style="50" customWidth="1"/>
    <col min="44" max="44" width="6.37962962962963" style="50" customWidth="1"/>
    <col min="45" max="45" width="12.8796296296296" style="50" customWidth="1"/>
    <col min="46" max="46" width="12.6296296296296" style="49" customWidth="1"/>
    <col min="47" max="47" width="14.8796296296296" style="61" customWidth="1"/>
    <col min="48" max="16384" width="9" style="49"/>
  </cols>
  <sheetData>
    <row r="1" s="49" customFormat="1" ht="36" customHeight="1" spans="1:47">
      <c r="A1" s="62" t="s">
        <v>0</v>
      </c>
      <c r="B1" s="63"/>
      <c r="C1" s="63"/>
      <c r="D1" s="63"/>
      <c r="E1" s="63"/>
      <c r="F1" s="63"/>
      <c r="G1" s="63"/>
      <c r="H1" s="64"/>
      <c r="I1" s="64"/>
      <c r="J1" s="85"/>
      <c r="K1" s="86"/>
      <c r="L1" s="86"/>
      <c r="M1" s="87"/>
      <c r="N1" s="63"/>
      <c r="O1" s="63"/>
      <c r="P1" s="88"/>
      <c r="Q1" s="88"/>
      <c r="R1" s="88"/>
      <c r="S1" s="88"/>
      <c r="T1" s="101"/>
      <c r="U1" s="101"/>
      <c r="V1" s="88"/>
      <c r="W1" s="63"/>
      <c r="X1" s="63"/>
      <c r="Y1" s="88"/>
      <c r="Z1" s="88"/>
      <c r="AA1" s="111"/>
      <c r="AB1" s="112"/>
      <c r="AC1" s="88"/>
      <c r="AD1" s="63"/>
      <c r="AE1" s="63"/>
      <c r="AF1" s="63"/>
      <c r="AG1" s="88"/>
      <c r="AH1" s="63"/>
      <c r="AI1" s="88"/>
      <c r="AJ1" s="63"/>
      <c r="AK1" s="88"/>
      <c r="AL1" s="88"/>
      <c r="AM1" s="63"/>
      <c r="AN1" s="63"/>
      <c r="AO1" s="88"/>
      <c r="AP1" s="88"/>
      <c r="AQ1" s="63"/>
      <c r="AR1" s="63"/>
      <c r="AS1" s="63"/>
      <c r="AT1" s="88"/>
      <c r="AU1" s="122"/>
    </row>
    <row r="2" s="49" customFormat="1" ht="19" customHeight="1" spans="1:47">
      <c r="A2" s="65" t="s">
        <v>1</v>
      </c>
      <c r="B2" s="66" t="s">
        <v>2</v>
      </c>
      <c r="C2" s="66" t="s">
        <v>3</v>
      </c>
      <c r="D2" s="67" t="s">
        <v>4</v>
      </c>
      <c r="E2" s="68" t="s">
        <v>5</v>
      </c>
      <c r="F2" s="69" t="s">
        <v>6</v>
      </c>
      <c r="G2" s="70" t="s">
        <v>7</v>
      </c>
      <c r="H2" s="71" t="s">
        <v>8</v>
      </c>
      <c r="I2" s="89" t="s">
        <v>9</v>
      </c>
      <c r="J2" s="90" t="s">
        <v>10</v>
      </c>
      <c r="K2" s="91" t="s">
        <v>11</v>
      </c>
      <c r="L2" s="91" t="s">
        <v>12</v>
      </c>
      <c r="M2" s="92"/>
      <c r="N2" s="93"/>
      <c r="O2" s="94"/>
      <c r="P2" s="66"/>
      <c r="Q2" s="93"/>
      <c r="R2" s="66" t="s">
        <v>13</v>
      </c>
      <c r="S2" s="66"/>
      <c r="T2" s="102"/>
      <c r="U2" s="103" t="s">
        <v>14</v>
      </c>
      <c r="V2" s="104" t="s">
        <v>15</v>
      </c>
      <c r="W2" s="105" t="s">
        <v>16</v>
      </c>
      <c r="X2" s="106"/>
      <c r="Y2" s="106"/>
      <c r="Z2" s="106"/>
      <c r="AA2" s="106"/>
      <c r="AB2" s="113"/>
      <c r="AC2" s="114" t="s">
        <v>17</v>
      </c>
      <c r="AD2" s="115"/>
      <c r="AE2" s="115"/>
      <c r="AF2" s="116"/>
      <c r="AG2" s="118" t="s">
        <v>18</v>
      </c>
      <c r="AH2" s="118"/>
      <c r="AI2" s="118"/>
      <c r="AJ2" s="118"/>
      <c r="AK2" s="104" t="s">
        <v>19</v>
      </c>
      <c r="AL2" s="114" t="s">
        <v>20</v>
      </c>
      <c r="AM2" s="115"/>
      <c r="AN2" s="115"/>
      <c r="AO2" s="115"/>
      <c r="AP2" s="115"/>
      <c r="AQ2" s="116"/>
      <c r="AR2" s="66" t="s">
        <v>21</v>
      </c>
      <c r="AS2" s="66" t="s">
        <v>22</v>
      </c>
      <c r="AT2" s="123" t="s">
        <v>23</v>
      </c>
      <c r="AU2" s="124" t="s">
        <v>24</v>
      </c>
    </row>
    <row r="3" s="49" customFormat="1" ht="30" customHeight="1" outlineLevel="1" spans="1:47">
      <c r="A3" s="65"/>
      <c r="B3" s="66"/>
      <c r="C3" s="66"/>
      <c r="D3" s="67"/>
      <c r="E3" s="68"/>
      <c r="F3" s="69"/>
      <c r="G3" s="70"/>
      <c r="H3" s="71"/>
      <c r="I3" s="95"/>
      <c r="J3" s="90"/>
      <c r="K3" s="91"/>
      <c r="L3" s="91" t="s">
        <v>25</v>
      </c>
      <c r="M3" s="92" t="s">
        <v>26</v>
      </c>
      <c r="N3" s="93" t="s">
        <v>27</v>
      </c>
      <c r="O3" s="94" t="s">
        <v>28</v>
      </c>
      <c r="P3" s="66" t="s">
        <v>29</v>
      </c>
      <c r="Q3" s="93" t="s">
        <v>30</v>
      </c>
      <c r="R3" s="66" t="s">
        <v>31</v>
      </c>
      <c r="S3" s="66" t="s">
        <v>32</v>
      </c>
      <c r="T3" s="102" t="s">
        <v>33</v>
      </c>
      <c r="U3" s="103"/>
      <c r="V3" s="104"/>
      <c r="W3" s="67" t="s">
        <v>34</v>
      </c>
      <c r="X3" s="67" t="s">
        <v>35</v>
      </c>
      <c r="Y3" s="67" t="s">
        <v>36</v>
      </c>
      <c r="Z3" s="67" t="s">
        <v>37</v>
      </c>
      <c r="AA3" s="67" t="s">
        <v>38</v>
      </c>
      <c r="AB3" s="117" t="s">
        <v>39</v>
      </c>
      <c r="AC3" s="67" t="s">
        <v>40</v>
      </c>
      <c r="AD3" s="67" t="s">
        <v>41</v>
      </c>
      <c r="AE3" s="67" t="s">
        <v>42</v>
      </c>
      <c r="AF3" s="67" t="s">
        <v>43</v>
      </c>
      <c r="AG3" s="67" t="s">
        <v>44</v>
      </c>
      <c r="AH3" s="67" t="s">
        <v>45</v>
      </c>
      <c r="AI3" s="67" t="s">
        <v>46</v>
      </c>
      <c r="AJ3" s="67" t="s">
        <v>47</v>
      </c>
      <c r="AK3" s="104"/>
      <c r="AL3" s="94" t="s">
        <v>48</v>
      </c>
      <c r="AM3" s="119" t="s">
        <v>49</v>
      </c>
      <c r="AN3" s="119" t="s">
        <v>50</v>
      </c>
      <c r="AO3" s="105" t="s">
        <v>51</v>
      </c>
      <c r="AP3" s="66" t="s">
        <v>52</v>
      </c>
      <c r="AQ3" s="66" t="s">
        <v>53</v>
      </c>
      <c r="AR3" s="66"/>
      <c r="AS3" s="66"/>
      <c r="AT3" s="123"/>
      <c r="AU3" s="124"/>
    </row>
    <row r="4" s="49" customFormat="1" ht="25" customHeight="1" spans="1:47">
      <c r="A4" s="72">
        <v>1</v>
      </c>
      <c r="B4" s="73" t="s">
        <v>54</v>
      </c>
      <c r="C4" s="74">
        <v>45268</v>
      </c>
      <c r="D4" s="75" t="s">
        <v>55</v>
      </c>
      <c r="E4" s="75" t="s">
        <v>56</v>
      </c>
      <c r="F4" s="76">
        <v>26</v>
      </c>
      <c r="G4" s="77">
        <v>26</v>
      </c>
      <c r="H4" s="78">
        <v>5000</v>
      </c>
      <c r="I4" s="78">
        <f t="shared" ref="I4:I11" si="0">IFERROR(ROUND(H4/F4*G4,2),0)</f>
        <v>5000</v>
      </c>
      <c r="J4" s="96">
        <f t="shared" ref="J4:J11" si="1">ROUND(IF(K4&lt;12000,0,"")&amp;IF(AND(K4&gt;=12000,K4&lt;16000),600,"")&amp;IF(AND(K4&gt;=16000,K4&lt;22000),900,"")&amp;IF(K4&gt;=22000,1200,""),2)</f>
        <v>0</v>
      </c>
      <c r="K4" s="78">
        <f t="shared" ref="K4:K12" si="2">L4+O4</f>
        <v>0</v>
      </c>
      <c r="L4" s="78"/>
      <c r="M4" s="97" t="str">
        <f t="shared" ref="M4:M9" si="3">IF(L4&lt;=6000,36%,"")&amp;IF(AND(L4&gt;=6001,L4&lt;=13000),38%,"")&amp;IF(L4&gt;13000,40%,"")</f>
        <v>0.36</v>
      </c>
      <c r="N4" s="98">
        <f t="shared" ref="N4:N11" si="4">ROUND(L4*M4,2)</f>
        <v>0</v>
      </c>
      <c r="O4" s="78"/>
      <c r="P4" s="99">
        <f t="shared" ref="P4:P11" si="5">IF(O4&lt;=13000,30%,IF(O4&gt;13000,32%))</f>
        <v>0.3</v>
      </c>
      <c r="Q4" s="107">
        <f t="shared" ref="Q4:Q11" si="6">ROUND(O4*P4,2)</f>
        <v>0</v>
      </c>
      <c r="R4" s="78">
        <v>0</v>
      </c>
      <c r="S4" s="97" t="str">
        <f t="shared" ref="S4:S11" si="7">IF(R4&lt;=8000,3%,"")&amp;IF(AND(R4&gt;=8001,R4&lt;=16000),4%,"")&amp;IF(AND(R4&gt;=16001,R4&lt;=24000),5%,"")&amp;IF(R4&gt;24000,6%,"")</f>
        <v>0.03</v>
      </c>
      <c r="T4" s="98">
        <f t="shared" ref="T4:T11" si="8">ROUND(R4*S4,2)</f>
        <v>0</v>
      </c>
      <c r="U4" s="78"/>
      <c r="V4" s="108">
        <f t="shared" ref="V4:V11" si="9">ROUND(I4+J4+N4+Q4+T4+U4,2)</f>
        <v>5000</v>
      </c>
      <c r="W4" s="78">
        <v>0</v>
      </c>
      <c r="X4" s="78">
        <v>0</v>
      </c>
      <c r="Y4" s="78">
        <v>0</v>
      </c>
      <c r="Z4" s="78">
        <v>0</v>
      </c>
      <c r="AA4" s="78">
        <v>0</v>
      </c>
      <c r="AB4" s="78">
        <v>0</v>
      </c>
      <c r="AC4" s="78">
        <v>0</v>
      </c>
      <c r="AD4" s="78">
        <v>0</v>
      </c>
      <c r="AE4" s="78">
        <v>0</v>
      </c>
      <c r="AF4" s="78">
        <v>0</v>
      </c>
      <c r="AG4" s="78">
        <v>0</v>
      </c>
      <c r="AH4" s="78">
        <v>25</v>
      </c>
      <c r="AI4" s="78">
        <v>0</v>
      </c>
      <c r="AJ4" s="78">
        <f>ROUND(5000*20%*20%,2)</f>
        <v>200</v>
      </c>
      <c r="AK4" s="120">
        <f t="shared" ref="AK4:AK11" si="10">ROUND(V4+SUM(W4:AB4)-SUM(AC4:AJ4),2)</f>
        <v>4775</v>
      </c>
      <c r="AL4" s="78">
        <v>35</v>
      </c>
      <c r="AM4" s="78">
        <v>0</v>
      </c>
      <c r="AN4" s="78">
        <v>0</v>
      </c>
      <c r="AO4" s="78">
        <v>0</v>
      </c>
      <c r="AP4" s="78">
        <v>0</v>
      </c>
      <c r="AQ4" s="78">
        <v>0</v>
      </c>
      <c r="AR4" s="78">
        <v>0</v>
      </c>
      <c r="AS4" s="78">
        <v>0</v>
      </c>
      <c r="AT4" s="120">
        <f t="shared" ref="AT4:AT11" si="11">ROUND(AK4-SUM(AL4:AS4),2)</f>
        <v>4740</v>
      </c>
      <c r="AU4" s="125"/>
    </row>
    <row r="5" s="49" customFormat="1" ht="25" customHeight="1" spans="1:47">
      <c r="A5" s="72">
        <v>2</v>
      </c>
      <c r="B5" s="79" t="s">
        <v>57</v>
      </c>
      <c r="C5" s="74">
        <v>45246</v>
      </c>
      <c r="D5" s="75" t="s">
        <v>55</v>
      </c>
      <c r="E5" s="80" t="s">
        <v>58</v>
      </c>
      <c r="F5" s="76">
        <v>26</v>
      </c>
      <c r="G5" s="77">
        <v>26</v>
      </c>
      <c r="H5" s="78">
        <v>2800</v>
      </c>
      <c r="I5" s="78">
        <f t="shared" si="0"/>
        <v>2800</v>
      </c>
      <c r="J5" s="96">
        <f t="shared" si="1"/>
        <v>0</v>
      </c>
      <c r="K5" s="78">
        <f t="shared" si="2"/>
        <v>0</v>
      </c>
      <c r="L5" s="78"/>
      <c r="M5" s="97" t="str">
        <f t="shared" si="3"/>
        <v>0.36</v>
      </c>
      <c r="N5" s="98">
        <f t="shared" si="4"/>
        <v>0</v>
      </c>
      <c r="O5" s="78"/>
      <c r="P5" s="99">
        <f t="shared" si="5"/>
        <v>0.3</v>
      </c>
      <c r="Q5" s="107">
        <f t="shared" si="6"/>
        <v>0</v>
      </c>
      <c r="R5" s="78">
        <v>3100</v>
      </c>
      <c r="S5" s="97" t="str">
        <f t="shared" si="7"/>
        <v>0.03</v>
      </c>
      <c r="T5" s="98">
        <f t="shared" si="8"/>
        <v>93</v>
      </c>
      <c r="U5" s="78">
        <v>50</v>
      </c>
      <c r="V5" s="108">
        <f t="shared" si="9"/>
        <v>2943</v>
      </c>
      <c r="W5" s="78">
        <v>50</v>
      </c>
      <c r="X5" s="78">
        <v>0</v>
      </c>
      <c r="Y5" s="78">
        <v>0</v>
      </c>
      <c r="Z5" s="78">
        <v>200</v>
      </c>
      <c r="AA5" s="78">
        <f>ROUND(29200*1%/3,2)</f>
        <v>97.33</v>
      </c>
      <c r="AB5" s="78">
        <f>878.5+76.5+200</f>
        <v>1155</v>
      </c>
      <c r="AC5" s="78">
        <v>0</v>
      </c>
      <c r="AD5" s="78">
        <v>0</v>
      </c>
      <c r="AE5" s="78">
        <v>0</v>
      </c>
      <c r="AF5" s="78">
        <v>0</v>
      </c>
      <c r="AG5" s="78">
        <v>0</v>
      </c>
      <c r="AH5" s="78">
        <v>0</v>
      </c>
      <c r="AI5" s="78">
        <v>0</v>
      </c>
      <c r="AJ5" s="78">
        <f>ROUND(2800*20%*20%,2)</f>
        <v>112</v>
      </c>
      <c r="AK5" s="120">
        <f t="shared" si="10"/>
        <v>4333.33</v>
      </c>
      <c r="AL5" s="78">
        <v>30</v>
      </c>
      <c r="AM5" s="78">
        <v>0</v>
      </c>
      <c r="AN5" s="78">
        <v>0</v>
      </c>
      <c r="AO5" s="78">
        <v>0</v>
      </c>
      <c r="AP5" s="78">
        <v>0</v>
      </c>
      <c r="AQ5" s="78">
        <v>0</v>
      </c>
      <c r="AR5" s="78">
        <v>0</v>
      </c>
      <c r="AS5" s="78">
        <v>0</v>
      </c>
      <c r="AT5" s="120">
        <f t="shared" si="11"/>
        <v>4303.33</v>
      </c>
      <c r="AU5" s="125"/>
    </row>
    <row r="6" s="49" customFormat="1" ht="25" customHeight="1" spans="1:47">
      <c r="A6" s="72">
        <v>3</v>
      </c>
      <c r="B6" s="81" t="s">
        <v>59</v>
      </c>
      <c r="C6" s="74">
        <v>45271</v>
      </c>
      <c r="D6" s="75" t="s">
        <v>55</v>
      </c>
      <c r="E6" s="80" t="s">
        <v>58</v>
      </c>
      <c r="F6" s="76">
        <v>26</v>
      </c>
      <c r="G6" s="77">
        <v>26</v>
      </c>
      <c r="H6" s="78">
        <v>2800</v>
      </c>
      <c r="I6" s="78">
        <f t="shared" si="0"/>
        <v>2800</v>
      </c>
      <c r="J6" s="96">
        <f t="shared" si="1"/>
        <v>0</v>
      </c>
      <c r="K6" s="78">
        <f t="shared" si="2"/>
        <v>0</v>
      </c>
      <c r="L6" s="78"/>
      <c r="M6" s="97" t="str">
        <f t="shared" si="3"/>
        <v>0.36</v>
      </c>
      <c r="N6" s="98">
        <f t="shared" si="4"/>
        <v>0</v>
      </c>
      <c r="O6" s="78"/>
      <c r="P6" s="99">
        <f t="shared" si="5"/>
        <v>0.3</v>
      </c>
      <c r="Q6" s="107">
        <f t="shared" si="6"/>
        <v>0</v>
      </c>
      <c r="R6" s="78">
        <v>0</v>
      </c>
      <c r="S6" s="97" t="str">
        <f t="shared" si="7"/>
        <v>0.03</v>
      </c>
      <c r="T6" s="98">
        <f t="shared" si="8"/>
        <v>0</v>
      </c>
      <c r="U6" s="78">
        <v>120</v>
      </c>
      <c r="V6" s="108">
        <f t="shared" si="9"/>
        <v>2920</v>
      </c>
      <c r="W6" s="78">
        <v>75</v>
      </c>
      <c r="X6" s="78">
        <v>0</v>
      </c>
      <c r="Y6" s="78">
        <v>0</v>
      </c>
      <c r="Z6" s="78">
        <v>200</v>
      </c>
      <c r="AA6" s="78">
        <f>ROUND(29200*1%/3,2)</f>
        <v>97.33</v>
      </c>
      <c r="AB6" s="78">
        <f>906+136.5+200</f>
        <v>1242.5</v>
      </c>
      <c r="AC6" s="78">
        <v>0</v>
      </c>
      <c r="AD6" s="78">
        <v>0</v>
      </c>
      <c r="AE6" s="78">
        <v>0</v>
      </c>
      <c r="AF6" s="78">
        <v>0</v>
      </c>
      <c r="AG6" s="78">
        <v>0</v>
      </c>
      <c r="AH6" s="78">
        <v>0</v>
      </c>
      <c r="AI6" s="78">
        <v>0</v>
      </c>
      <c r="AJ6" s="78">
        <f>ROUND(2800*20%*20%,2)</f>
        <v>112</v>
      </c>
      <c r="AK6" s="120">
        <f t="shared" si="10"/>
        <v>4422.83</v>
      </c>
      <c r="AL6" s="78">
        <v>30</v>
      </c>
      <c r="AM6" s="78">
        <v>0</v>
      </c>
      <c r="AN6" s="78">
        <v>0</v>
      </c>
      <c r="AO6" s="78">
        <v>0</v>
      </c>
      <c r="AP6" s="78">
        <v>0</v>
      </c>
      <c r="AQ6" s="78">
        <v>0</v>
      </c>
      <c r="AR6" s="78">
        <v>0</v>
      </c>
      <c r="AS6" s="78">
        <v>0</v>
      </c>
      <c r="AT6" s="120">
        <f t="shared" si="11"/>
        <v>4392.83</v>
      </c>
      <c r="AU6" s="125"/>
    </row>
    <row r="7" s="49" customFormat="1" ht="25" customHeight="1" spans="1:47">
      <c r="A7" s="72">
        <v>4</v>
      </c>
      <c r="B7" s="78" t="s">
        <v>60</v>
      </c>
      <c r="C7" s="74">
        <v>45273</v>
      </c>
      <c r="D7" s="75" t="s">
        <v>55</v>
      </c>
      <c r="E7" s="80" t="s">
        <v>58</v>
      </c>
      <c r="F7" s="76">
        <v>26</v>
      </c>
      <c r="G7" s="77">
        <v>26</v>
      </c>
      <c r="H7" s="78">
        <v>2800</v>
      </c>
      <c r="I7" s="78">
        <f t="shared" si="0"/>
        <v>2800</v>
      </c>
      <c r="J7" s="96">
        <f t="shared" si="1"/>
        <v>0</v>
      </c>
      <c r="K7" s="78">
        <f t="shared" si="2"/>
        <v>0</v>
      </c>
      <c r="L7" s="78"/>
      <c r="M7" s="97" t="str">
        <f t="shared" si="3"/>
        <v>0.36</v>
      </c>
      <c r="N7" s="98">
        <f t="shared" si="4"/>
        <v>0</v>
      </c>
      <c r="O7" s="78"/>
      <c r="P7" s="99">
        <f t="shared" si="5"/>
        <v>0.3</v>
      </c>
      <c r="Q7" s="107">
        <f t="shared" si="6"/>
        <v>0</v>
      </c>
      <c r="R7" s="78">
        <v>1740</v>
      </c>
      <c r="S7" s="97" t="str">
        <f t="shared" si="7"/>
        <v>0.03</v>
      </c>
      <c r="T7" s="98">
        <f t="shared" si="8"/>
        <v>52.2</v>
      </c>
      <c r="U7" s="100">
        <v>50</v>
      </c>
      <c r="V7" s="108">
        <f t="shared" si="9"/>
        <v>2902.2</v>
      </c>
      <c r="W7" s="78">
        <v>25</v>
      </c>
      <c r="X7" s="78">
        <v>0</v>
      </c>
      <c r="Y7" s="78">
        <v>0</v>
      </c>
      <c r="Z7" s="78">
        <v>200</v>
      </c>
      <c r="AA7" s="78">
        <f>ROUND(29200*1%/3,2)</f>
        <v>97.33</v>
      </c>
      <c r="AB7" s="78">
        <f>607.5+120+200</f>
        <v>927.5</v>
      </c>
      <c r="AC7" s="78">
        <v>0</v>
      </c>
      <c r="AD7" s="78">
        <v>0</v>
      </c>
      <c r="AE7" s="78">
        <v>0</v>
      </c>
      <c r="AF7" s="78">
        <v>0</v>
      </c>
      <c r="AG7" s="78">
        <v>0</v>
      </c>
      <c r="AH7" s="78">
        <v>0</v>
      </c>
      <c r="AI7" s="78">
        <v>0</v>
      </c>
      <c r="AJ7" s="78">
        <f>ROUND(2800*20%*20%,2)</f>
        <v>112</v>
      </c>
      <c r="AK7" s="120">
        <f t="shared" si="10"/>
        <v>4040.03</v>
      </c>
      <c r="AL7" s="78">
        <v>15</v>
      </c>
      <c r="AM7" s="78">
        <v>0</v>
      </c>
      <c r="AN7" s="78">
        <v>0</v>
      </c>
      <c r="AO7" s="78">
        <v>0</v>
      </c>
      <c r="AP7" s="78">
        <v>0</v>
      </c>
      <c r="AQ7" s="78">
        <v>0</v>
      </c>
      <c r="AR7" s="78">
        <v>0</v>
      </c>
      <c r="AS7" s="78">
        <v>0</v>
      </c>
      <c r="AT7" s="120">
        <f t="shared" si="11"/>
        <v>4025.03</v>
      </c>
      <c r="AU7" s="125"/>
    </row>
    <row r="8" s="49" customFormat="1" ht="25" customHeight="1" spans="1:47">
      <c r="A8" s="72">
        <v>5</v>
      </c>
      <c r="B8" s="78" t="s">
        <v>61</v>
      </c>
      <c r="C8" s="74">
        <v>45309</v>
      </c>
      <c r="D8" s="75" t="s">
        <v>55</v>
      </c>
      <c r="E8" s="78" t="s">
        <v>62</v>
      </c>
      <c r="F8" s="76">
        <v>26</v>
      </c>
      <c r="G8" s="77">
        <v>26</v>
      </c>
      <c r="H8" s="78">
        <v>3000</v>
      </c>
      <c r="I8" s="78">
        <f t="shared" si="0"/>
        <v>3000</v>
      </c>
      <c r="J8" s="96">
        <f t="shared" si="1"/>
        <v>0</v>
      </c>
      <c r="K8" s="78">
        <f t="shared" si="2"/>
        <v>0</v>
      </c>
      <c r="L8" s="78"/>
      <c r="M8" s="97" t="str">
        <f t="shared" si="3"/>
        <v>0.36</v>
      </c>
      <c r="N8" s="98">
        <f t="shared" si="4"/>
        <v>0</v>
      </c>
      <c r="O8" s="78"/>
      <c r="P8" s="99">
        <f t="shared" si="5"/>
        <v>0.3</v>
      </c>
      <c r="Q8" s="107">
        <f t="shared" si="6"/>
        <v>0</v>
      </c>
      <c r="R8" s="78">
        <v>0</v>
      </c>
      <c r="S8" s="97" t="str">
        <f t="shared" si="7"/>
        <v>0.03</v>
      </c>
      <c r="T8" s="98">
        <f t="shared" si="8"/>
        <v>0</v>
      </c>
      <c r="U8" s="78"/>
      <c r="V8" s="108">
        <f t="shared" si="9"/>
        <v>3000</v>
      </c>
      <c r="W8" s="78">
        <v>0</v>
      </c>
      <c r="X8" s="78">
        <v>0</v>
      </c>
      <c r="Y8" s="78">
        <v>0</v>
      </c>
      <c r="Z8" s="78">
        <v>200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  <c r="AF8" s="78">
        <v>0</v>
      </c>
      <c r="AG8" s="78">
        <v>0</v>
      </c>
      <c r="AH8" s="78">
        <v>0</v>
      </c>
      <c r="AI8" s="78">
        <v>0</v>
      </c>
      <c r="AJ8" s="78">
        <v>0</v>
      </c>
      <c r="AK8" s="120">
        <f t="shared" si="10"/>
        <v>3200</v>
      </c>
      <c r="AL8" s="78">
        <v>5</v>
      </c>
      <c r="AM8" s="78">
        <v>0</v>
      </c>
      <c r="AN8" s="78">
        <v>0</v>
      </c>
      <c r="AO8" s="78">
        <v>0</v>
      </c>
      <c r="AP8" s="78">
        <v>0</v>
      </c>
      <c r="AQ8" s="78">
        <v>0</v>
      </c>
      <c r="AR8" s="78">
        <v>0</v>
      </c>
      <c r="AS8" s="78">
        <v>0</v>
      </c>
      <c r="AT8" s="120">
        <f t="shared" si="11"/>
        <v>3195</v>
      </c>
      <c r="AU8" s="125"/>
    </row>
    <row r="9" s="49" customFormat="1" ht="25" customHeight="1" spans="1:47">
      <c r="A9" s="72">
        <v>6</v>
      </c>
      <c r="B9" s="78" t="s">
        <v>63</v>
      </c>
      <c r="C9" s="74"/>
      <c r="D9" s="75" t="s">
        <v>55</v>
      </c>
      <c r="E9" s="78" t="s">
        <v>64</v>
      </c>
      <c r="F9" s="76">
        <v>26</v>
      </c>
      <c r="G9" s="77">
        <v>26</v>
      </c>
      <c r="H9" s="78">
        <v>1800</v>
      </c>
      <c r="I9" s="78">
        <f t="shared" si="0"/>
        <v>1800</v>
      </c>
      <c r="J9" s="96">
        <f t="shared" si="1"/>
        <v>0</v>
      </c>
      <c r="K9" s="78">
        <f t="shared" si="2"/>
        <v>0</v>
      </c>
      <c r="L9" s="78"/>
      <c r="M9" s="97" t="str">
        <f t="shared" si="3"/>
        <v>0.36</v>
      </c>
      <c r="N9" s="98">
        <f t="shared" si="4"/>
        <v>0</v>
      </c>
      <c r="O9" s="78"/>
      <c r="P9" s="99">
        <f t="shared" si="5"/>
        <v>0.3</v>
      </c>
      <c r="Q9" s="107">
        <f t="shared" si="6"/>
        <v>0</v>
      </c>
      <c r="R9" s="78">
        <v>0</v>
      </c>
      <c r="S9" s="97" t="str">
        <f t="shared" si="7"/>
        <v>0.03</v>
      </c>
      <c r="T9" s="98">
        <f t="shared" si="8"/>
        <v>0</v>
      </c>
      <c r="U9" s="78"/>
      <c r="V9" s="108">
        <f t="shared" si="9"/>
        <v>1800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  <c r="AF9" s="78">
        <v>0</v>
      </c>
      <c r="AG9" s="78">
        <v>0</v>
      </c>
      <c r="AH9" s="78">
        <v>0</v>
      </c>
      <c r="AI9" s="78">
        <v>0</v>
      </c>
      <c r="AJ9" s="78">
        <v>0</v>
      </c>
      <c r="AK9" s="120">
        <f t="shared" si="10"/>
        <v>1800</v>
      </c>
      <c r="AL9" s="78">
        <v>0</v>
      </c>
      <c r="AM9" s="78">
        <v>0</v>
      </c>
      <c r="AN9" s="78">
        <v>0</v>
      </c>
      <c r="AO9" s="78">
        <v>0</v>
      </c>
      <c r="AP9" s="78">
        <v>0</v>
      </c>
      <c r="AQ9" s="78">
        <v>0</v>
      </c>
      <c r="AR9" s="78">
        <v>0</v>
      </c>
      <c r="AS9" s="78">
        <v>0</v>
      </c>
      <c r="AT9" s="120">
        <f t="shared" si="11"/>
        <v>1800</v>
      </c>
      <c r="AU9" s="125"/>
    </row>
    <row r="10" s="49" customFormat="1" ht="25" customHeight="1" spans="1:47">
      <c r="A10" s="72">
        <v>7</v>
      </c>
      <c r="B10" s="78" t="s">
        <v>65</v>
      </c>
      <c r="C10" s="74">
        <v>45285</v>
      </c>
      <c r="D10" s="75" t="s">
        <v>55</v>
      </c>
      <c r="E10" s="75" t="s">
        <v>66</v>
      </c>
      <c r="F10" s="76"/>
      <c r="G10" s="77"/>
      <c r="H10" s="78"/>
      <c r="I10" s="78">
        <f t="shared" si="0"/>
        <v>0</v>
      </c>
      <c r="J10" s="96">
        <f t="shared" si="1"/>
        <v>600</v>
      </c>
      <c r="K10" s="78">
        <f t="shared" si="2"/>
        <v>14118.95</v>
      </c>
      <c r="L10" s="100">
        <v>1250.02</v>
      </c>
      <c r="M10" s="97" t="str">
        <f t="shared" ref="M10:M22" si="12">IF(L10&lt;=6000,36%,"")&amp;IF(AND(L10&gt;=6001,L10&lt;=13000),38%,"")&amp;IF(L10&gt;13000,40%,"")</f>
        <v>0.36</v>
      </c>
      <c r="N10" s="98">
        <f t="shared" si="4"/>
        <v>450.01</v>
      </c>
      <c r="O10" s="100">
        <v>12868.93</v>
      </c>
      <c r="P10" s="99">
        <f t="shared" si="5"/>
        <v>0.3</v>
      </c>
      <c r="Q10" s="107">
        <f t="shared" si="6"/>
        <v>3860.68</v>
      </c>
      <c r="R10" s="78">
        <v>1850</v>
      </c>
      <c r="S10" s="97" t="str">
        <f t="shared" si="7"/>
        <v>0.03</v>
      </c>
      <c r="T10" s="98">
        <f t="shared" si="8"/>
        <v>55.5</v>
      </c>
      <c r="U10" s="100">
        <v>195.5</v>
      </c>
      <c r="V10" s="108">
        <f t="shared" si="9"/>
        <v>5161.69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300</v>
      </c>
      <c r="AD10" s="78">
        <v>0</v>
      </c>
      <c r="AE10" s="78">
        <v>0</v>
      </c>
      <c r="AF10" s="78">
        <v>0</v>
      </c>
      <c r="AG10" s="78">
        <v>0</v>
      </c>
      <c r="AH10" s="78">
        <v>0</v>
      </c>
      <c r="AI10" s="78">
        <v>0</v>
      </c>
      <c r="AJ10" s="78">
        <v>0</v>
      </c>
      <c r="AK10" s="120">
        <f t="shared" si="10"/>
        <v>4861.69</v>
      </c>
      <c r="AL10" s="78">
        <v>0</v>
      </c>
      <c r="AM10" s="78">
        <v>0</v>
      </c>
      <c r="AN10" s="78">
        <v>0</v>
      </c>
      <c r="AO10" s="78">
        <v>0</v>
      </c>
      <c r="AP10" s="78">
        <v>0</v>
      </c>
      <c r="AQ10" s="78">
        <v>0</v>
      </c>
      <c r="AR10" s="78">
        <v>0</v>
      </c>
      <c r="AS10" s="78">
        <v>0</v>
      </c>
      <c r="AT10" s="120">
        <f t="shared" si="11"/>
        <v>4861.69</v>
      </c>
      <c r="AU10" s="125"/>
    </row>
    <row r="11" s="49" customFormat="1" ht="25" customHeight="1" spans="1:47">
      <c r="A11" s="72">
        <v>8</v>
      </c>
      <c r="B11" s="78" t="s">
        <v>67</v>
      </c>
      <c r="C11" s="74">
        <v>45288</v>
      </c>
      <c r="D11" s="75" t="s">
        <v>55</v>
      </c>
      <c r="E11" s="75" t="s">
        <v>66</v>
      </c>
      <c r="F11" s="76"/>
      <c r="G11" s="77"/>
      <c r="H11" s="78"/>
      <c r="I11" s="78">
        <f t="shared" ref="I11:I19" si="13">IFERROR(ROUND(H11/F11*G11,2),0)</f>
        <v>0</v>
      </c>
      <c r="J11" s="96">
        <f t="shared" ref="J11:J22" si="14">ROUND(IF(K11&lt;12000,0,"")&amp;IF(AND(K11&gt;=12000,K11&lt;16000),600,"")&amp;IF(AND(K11&gt;=16000,K11&lt;22000),900,"")&amp;IF(K11&gt;=22000,1200,""),2)</f>
        <v>0</v>
      </c>
      <c r="K11" s="78">
        <f t="shared" si="2"/>
        <v>10005.48</v>
      </c>
      <c r="L11" s="100">
        <v>2110.08</v>
      </c>
      <c r="M11" s="97" t="str">
        <f t="shared" si="12"/>
        <v>0.36</v>
      </c>
      <c r="N11" s="98">
        <f t="shared" ref="N11:N22" si="15">ROUND(L11*M11,2)</f>
        <v>759.63</v>
      </c>
      <c r="O11" s="100">
        <v>7895.4</v>
      </c>
      <c r="P11" s="99">
        <f t="shared" ref="P11:P22" si="16">IF(O11&lt;=13000,30%,IF(O11&gt;13000,32%))</f>
        <v>0.3</v>
      </c>
      <c r="Q11" s="107">
        <f t="shared" ref="Q11:Q22" si="17">ROUND(O11*P11,2)</f>
        <v>2368.62</v>
      </c>
      <c r="R11" s="78">
        <v>2800</v>
      </c>
      <c r="S11" s="97" t="str">
        <f t="shared" ref="S11:S22" si="18">IF(R11&lt;=8000,3%,"")&amp;IF(AND(R11&gt;=8001,R11&lt;=16000),4%,"")&amp;IF(AND(R11&gt;=16001,R11&lt;=24000),5%,"")&amp;IF(R11&gt;24000,6%,"")</f>
        <v>0.03</v>
      </c>
      <c r="T11" s="98">
        <f t="shared" ref="T11:T22" si="19">ROUND(R11*S11,2)</f>
        <v>84</v>
      </c>
      <c r="U11" s="100">
        <v>140.8</v>
      </c>
      <c r="V11" s="108">
        <f t="shared" ref="V11:V22" si="20">ROUND(I11+J11+N11+Q11+T11+U11,2)</f>
        <v>3353.05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  <c r="AF11" s="78">
        <v>0</v>
      </c>
      <c r="AG11" s="78">
        <v>0</v>
      </c>
      <c r="AH11" s="78">
        <f>25+50</f>
        <v>75</v>
      </c>
      <c r="AI11" s="78">
        <v>0</v>
      </c>
      <c r="AJ11" s="78">
        <v>0</v>
      </c>
      <c r="AK11" s="120">
        <f t="shared" ref="AK11:AK22" si="21">ROUND(V11+SUM(W11:AB11)-SUM(AC11:AJ11),2)</f>
        <v>3278.05</v>
      </c>
      <c r="AL11" s="78">
        <v>90</v>
      </c>
      <c r="AM11" s="78">
        <v>0</v>
      </c>
      <c r="AN11" s="78">
        <v>225</v>
      </c>
      <c r="AO11" s="78">
        <v>0</v>
      </c>
      <c r="AP11" s="78">
        <v>0</v>
      </c>
      <c r="AQ11" s="78">
        <v>0</v>
      </c>
      <c r="AR11" s="78">
        <v>0</v>
      </c>
      <c r="AS11" s="78">
        <v>0</v>
      </c>
      <c r="AT11" s="120">
        <f t="shared" ref="AT11:AT22" si="22">ROUND(AK11-SUM(AL11:AS11),2)</f>
        <v>2963.05</v>
      </c>
      <c r="AU11" s="125"/>
    </row>
    <row r="12" s="49" customFormat="1" ht="25" customHeight="1" spans="1:47">
      <c r="A12" s="72">
        <v>9</v>
      </c>
      <c r="B12" s="78" t="s">
        <v>68</v>
      </c>
      <c r="C12" s="74">
        <v>45285</v>
      </c>
      <c r="D12" s="75" t="s">
        <v>55</v>
      </c>
      <c r="E12" s="75" t="s">
        <v>66</v>
      </c>
      <c r="F12" s="76"/>
      <c r="G12" s="77"/>
      <c r="H12" s="78"/>
      <c r="I12" s="78">
        <f t="shared" si="13"/>
        <v>0</v>
      </c>
      <c r="J12" s="96">
        <f t="shared" si="14"/>
        <v>0</v>
      </c>
      <c r="K12" s="78">
        <f t="shared" ref="K12:K22" si="23">L12+O12</f>
        <v>8514.28</v>
      </c>
      <c r="L12" s="100">
        <v>364.72</v>
      </c>
      <c r="M12" s="97" t="str">
        <f t="shared" si="12"/>
        <v>0.36</v>
      </c>
      <c r="N12" s="98">
        <f t="shared" si="15"/>
        <v>131.3</v>
      </c>
      <c r="O12" s="100">
        <v>8149.56</v>
      </c>
      <c r="P12" s="99">
        <f t="shared" si="16"/>
        <v>0.3</v>
      </c>
      <c r="Q12" s="107">
        <f t="shared" si="17"/>
        <v>2444.87</v>
      </c>
      <c r="R12" s="78">
        <v>950</v>
      </c>
      <c r="S12" s="97" t="str">
        <f t="shared" si="18"/>
        <v>0.03</v>
      </c>
      <c r="T12" s="98">
        <f t="shared" si="19"/>
        <v>28.5</v>
      </c>
      <c r="U12" s="100">
        <v>96.9</v>
      </c>
      <c r="V12" s="108">
        <f t="shared" si="20"/>
        <v>2701.57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8">
        <v>0</v>
      </c>
      <c r="AG12" s="78">
        <v>0</v>
      </c>
      <c r="AH12" s="78">
        <v>50</v>
      </c>
      <c r="AI12" s="78">
        <v>0</v>
      </c>
      <c r="AJ12" s="78">
        <v>0</v>
      </c>
      <c r="AK12" s="120">
        <f t="shared" si="21"/>
        <v>2651.57</v>
      </c>
      <c r="AL12" s="78">
        <v>40</v>
      </c>
      <c r="AM12" s="78">
        <v>0</v>
      </c>
      <c r="AN12" s="78">
        <v>0</v>
      </c>
      <c r="AO12" s="78">
        <v>0</v>
      </c>
      <c r="AP12" s="78">
        <v>0</v>
      </c>
      <c r="AQ12" s="78">
        <v>0</v>
      </c>
      <c r="AR12" s="78">
        <v>0</v>
      </c>
      <c r="AS12" s="78">
        <v>0</v>
      </c>
      <c r="AT12" s="120">
        <f t="shared" si="22"/>
        <v>2611.57</v>
      </c>
      <c r="AU12" s="125"/>
    </row>
    <row r="13" s="49" customFormat="1" ht="25" customHeight="1" spans="1:47">
      <c r="A13" s="72">
        <v>10</v>
      </c>
      <c r="B13" s="78" t="s">
        <v>69</v>
      </c>
      <c r="C13" s="74">
        <v>45285</v>
      </c>
      <c r="D13" s="75" t="s">
        <v>55</v>
      </c>
      <c r="E13" s="75" t="s">
        <v>66</v>
      </c>
      <c r="F13" s="76"/>
      <c r="G13" s="77"/>
      <c r="H13" s="78"/>
      <c r="I13" s="78">
        <f t="shared" si="13"/>
        <v>0</v>
      </c>
      <c r="J13" s="96">
        <f t="shared" si="14"/>
        <v>600</v>
      </c>
      <c r="K13" s="78">
        <f t="shared" si="23"/>
        <v>12808.3</v>
      </c>
      <c r="L13" s="100">
        <v>2547.81</v>
      </c>
      <c r="M13" s="97" t="str">
        <f t="shared" si="12"/>
        <v>0.36</v>
      </c>
      <c r="N13" s="98">
        <f t="shared" si="15"/>
        <v>917.21</v>
      </c>
      <c r="O13" s="100">
        <v>10260.49</v>
      </c>
      <c r="P13" s="99">
        <f t="shared" si="16"/>
        <v>0.3</v>
      </c>
      <c r="Q13" s="107">
        <f t="shared" si="17"/>
        <v>3078.15</v>
      </c>
      <c r="R13" s="78">
        <v>3700</v>
      </c>
      <c r="S13" s="97" t="str">
        <f t="shared" si="18"/>
        <v>0.03</v>
      </c>
      <c r="T13" s="98">
        <f t="shared" si="19"/>
        <v>111</v>
      </c>
      <c r="U13" s="100">
        <v>259.1</v>
      </c>
      <c r="V13" s="108">
        <f t="shared" si="20"/>
        <v>4965.46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200</v>
      </c>
      <c r="AD13" s="78">
        <v>0</v>
      </c>
      <c r="AE13" s="78">
        <v>0</v>
      </c>
      <c r="AF13" s="78">
        <v>0</v>
      </c>
      <c r="AG13" s="78">
        <v>0</v>
      </c>
      <c r="AH13" s="78">
        <f>25+25</f>
        <v>50</v>
      </c>
      <c r="AI13" s="78">
        <v>0</v>
      </c>
      <c r="AJ13" s="78">
        <v>0</v>
      </c>
      <c r="AK13" s="120">
        <f t="shared" si="21"/>
        <v>4715.46</v>
      </c>
      <c r="AL13" s="78">
        <v>5</v>
      </c>
      <c r="AM13" s="78">
        <v>0</v>
      </c>
      <c r="AN13" s="78">
        <v>0</v>
      </c>
      <c r="AO13" s="78">
        <v>0</v>
      </c>
      <c r="AP13" s="78">
        <v>0</v>
      </c>
      <c r="AQ13" s="78">
        <v>0</v>
      </c>
      <c r="AR13" s="78">
        <v>0</v>
      </c>
      <c r="AS13" s="78">
        <v>0</v>
      </c>
      <c r="AT13" s="120">
        <f t="shared" si="22"/>
        <v>4710.46</v>
      </c>
      <c r="AU13" s="125"/>
    </row>
    <row r="14" s="49" customFormat="1" ht="25" customHeight="1" spans="1:47">
      <c r="A14" s="72">
        <v>11</v>
      </c>
      <c r="B14" s="78" t="s">
        <v>70</v>
      </c>
      <c r="C14" s="74">
        <v>45307</v>
      </c>
      <c r="D14" s="75" t="s">
        <v>55</v>
      </c>
      <c r="E14" s="75" t="s">
        <v>71</v>
      </c>
      <c r="F14" s="76"/>
      <c r="G14" s="77"/>
      <c r="H14" s="78"/>
      <c r="I14" s="78">
        <f t="shared" si="13"/>
        <v>0</v>
      </c>
      <c r="J14" s="96">
        <f t="shared" si="14"/>
        <v>0</v>
      </c>
      <c r="K14" s="78">
        <f t="shared" si="23"/>
        <v>7243</v>
      </c>
      <c r="L14" s="100">
        <v>278.24</v>
      </c>
      <c r="M14" s="97" t="str">
        <f t="shared" si="12"/>
        <v>0.36</v>
      </c>
      <c r="N14" s="98">
        <f t="shared" si="15"/>
        <v>100.17</v>
      </c>
      <c r="O14" s="100">
        <v>6964.76</v>
      </c>
      <c r="P14" s="99">
        <f t="shared" si="16"/>
        <v>0.3</v>
      </c>
      <c r="Q14" s="107">
        <f t="shared" si="17"/>
        <v>2089.43</v>
      </c>
      <c r="R14" s="78">
        <v>450</v>
      </c>
      <c r="S14" s="97" t="str">
        <f t="shared" si="18"/>
        <v>0.03</v>
      </c>
      <c r="T14" s="98">
        <f t="shared" si="19"/>
        <v>13.5</v>
      </c>
      <c r="U14" s="100">
        <v>125.7</v>
      </c>
      <c r="V14" s="108">
        <f t="shared" si="20"/>
        <v>2328.8</v>
      </c>
      <c r="W14" s="78">
        <v>1600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  <c r="AF14" s="78">
        <v>0</v>
      </c>
      <c r="AG14" s="78">
        <v>0</v>
      </c>
      <c r="AH14" s="78">
        <v>0</v>
      </c>
      <c r="AI14" s="78">
        <v>0</v>
      </c>
      <c r="AJ14" s="78">
        <v>0</v>
      </c>
      <c r="AK14" s="120">
        <f t="shared" si="21"/>
        <v>3928.8</v>
      </c>
      <c r="AL14" s="78">
        <v>80</v>
      </c>
      <c r="AM14" s="78">
        <v>0</v>
      </c>
      <c r="AN14" s="78">
        <v>0</v>
      </c>
      <c r="AO14" s="78">
        <v>0</v>
      </c>
      <c r="AP14" s="78">
        <v>0</v>
      </c>
      <c r="AQ14" s="78">
        <v>0</v>
      </c>
      <c r="AR14" s="78">
        <v>0</v>
      </c>
      <c r="AS14" s="78">
        <v>0</v>
      </c>
      <c r="AT14" s="120">
        <f t="shared" si="22"/>
        <v>3848.8</v>
      </c>
      <c r="AU14" s="125"/>
    </row>
    <row r="15" s="49" customFormat="1" ht="25" customHeight="1" spans="1:47">
      <c r="A15" s="72">
        <v>12</v>
      </c>
      <c r="B15" s="78" t="s">
        <v>72</v>
      </c>
      <c r="C15" s="74">
        <v>45352</v>
      </c>
      <c r="D15" s="75" t="s">
        <v>55</v>
      </c>
      <c r="E15" s="75" t="s">
        <v>66</v>
      </c>
      <c r="F15" s="76"/>
      <c r="G15" s="77"/>
      <c r="H15" s="78"/>
      <c r="I15" s="78">
        <f t="shared" si="13"/>
        <v>0</v>
      </c>
      <c r="J15" s="96">
        <f t="shared" si="14"/>
        <v>0</v>
      </c>
      <c r="K15" s="78">
        <f t="shared" si="23"/>
        <v>10314.71</v>
      </c>
      <c r="L15" s="100">
        <v>3929.55</v>
      </c>
      <c r="M15" s="97" t="str">
        <f t="shared" si="12"/>
        <v>0.36</v>
      </c>
      <c r="N15" s="98">
        <f t="shared" si="15"/>
        <v>1414.64</v>
      </c>
      <c r="O15" s="100">
        <v>6385.16</v>
      </c>
      <c r="P15" s="99">
        <f t="shared" si="16"/>
        <v>0.3</v>
      </c>
      <c r="Q15" s="107">
        <f t="shared" si="17"/>
        <v>1915.55</v>
      </c>
      <c r="R15" s="78">
        <v>10260</v>
      </c>
      <c r="S15" s="97" t="str">
        <f t="shared" si="18"/>
        <v>0.04</v>
      </c>
      <c r="T15" s="98">
        <f t="shared" si="19"/>
        <v>410.4</v>
      </c>
      <c r="U15" s="100">
        <v>268.2</v>
      </c>
      <c r="V15" s="108">
        <f t="shared" si="20"/>
        <v>4008.79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  <c r="AF15" s="78">
        <v>0</v>
      </c>
      <c r="AG15" s="78">
        <v>0</v>
      </c>
      <c r="AH15" s="78">
        <v>25</v>
      </c>
      <c r="AI15" s="78">
        <v>0</v>
      </c>
      <c r="AJ15" s="78">
        <v>0</v>
      </c>
      <c r="AK15" s="120">
        <f t="shared" si="21"/>
        <v>3983.79</v>
      </c>
      <c r="AL15" s="78">
        <v>90</v>
      </c>
      <c r="AM15" s="78">
        <v>0</v>
      </c>
      <c r="AN15" s="78">
        <v>0</v>
      </c>
      <c r="AO15" s="78">
        <v>0</v>
      </c>
      <c r="AP15" s="78">
        <v>0</v>
      </c>
      <c r="AQ15" s="78">
        <v>0</v>
      </c>
      <c r="AR15" s="78">
        <v>0</v>
      </c>
      <c r="AS15" s="78">
        <v>0</v>
      </c>
      <c r="AT15" s="120">
        <f t="shared" si="22"/>
        <v>3893.79</v>
      </c>
      <c r="AU15" s="125"/>
    </row>
    <row r="16" s="49" customFormat="1" ht="25" customHeight="1" spans="1:47">
      <c r="A16" s="72">
        <v>13</v>
      </c>
      <c r="B16" s="73" t="s">
        <v>73</v>
      </c>
      <c r="C16" s="82">
        <v>45359</v>
      </c>
      <c r="D16" s="75" t="s">
        <v>55</v>
      </c>
      <c r="E16" s="75" t="s">
        <v>66</v>
      </c>
      <c r="F16" s="76">
        <v>31</v>
      </c>
      <c r="G16" s="77">
        <v>7</v>
      </c>
      <c r="H16" s="78">
        <v>6000</v>
      </c>
      <c r="I16" s="78">
        <f t="shared" si="13"/>
        <v>1354.84</v>
      </c>
      <c r="J16" s="96">
        <f t="shared" si="14"/>
        <v>0</v>
      </c>
      <c r="K16" s="78">
        <f t="shared" si="23"/>
        <v>5598.32</v>
      </c>
      <c r="L16" s="100">
        <f>1293.3-653.4</f>
        <v>639.9</v>
      </c>
      <c r="M16" s="97" t="str">
        <f t="shared" si="12"/>
        <v>0.36</v>
      </c>
      <c r="N16" s="98">
        <f t="shared" si="15"/>
        <v>230.36</v>
      </c>
      <c r="O16" s="100">
        <f>7139.62-2181.2</f>
        <v>4958.42</v>
      </c>
      <c r="P16" s="99">
        <f t="shared" si="16"/>
        <v>0.3</v>
      </c>
      <c r="Q16" s="107">
        <f t="shared" si="17"/>
        <v>1487.53</v>
      </c>
      <c r="R16" s="78">
        <f>2000-1000</f>
        <v>1000</v>
      </c>
      <c r="S16" s="97" t="str">
        <f t="shared" si="18"/>
        <v>0.03</v>
      </c>
      <c r="T16" s="98">
        <f t="shared" si="19"/>
        <v>30</v>
      </c>
      <c r="U16" s="100">
        <f>217.6-82.8</f>
        <v>134.8</v>
      </c>
      <c r="V16" s="108">
        <f t="shared" si="20"/>
        <v>3237.53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  <c r="AF16" s="78">
        <v>0</v>
      </c>
      <c r="AG16" s="78">
        <v>0</v>
      </c>
      <c r="AH16" s="78">
        <v>25</v>
      </c>
      <c r="AI16" s="78">
        <v>0</v>
      </c>
      <c r="AJ16" s="78">
        <v>0</v>
      </c>
      <c r="AK16" s="120">
        <f t="shared" si="21"/>
        <v>3212.53</v>
      </c>
      <c r="AL16" s="78">
        <v>110</v>
      </c>
      <c r="AM16" s="78">
        <v>0</v>
      </c>
      <c r="AN16" s="78">
        <v>225</v>
      </c>
      <c r="AO16" s="78">
        <v>0</v>
      </c>
      <c r="AP16" s="78">
        <v>0</v>
      </c>
      <c r="AQ16" s="78">
        <v>0</v>
      </c>
      <c r="AR16" s="78">
        <v>0</v>
      </c>
      <c r="AS16" s="78">
        <v>0</v>
      </c>
      <c r="AT16" s="120">
        <f t="shared" si="22"/>
        <v>2877.53</v>
      </c>
      <c r="AU16" s="125"/>
    </row>
    <row r="17" s="49" customFormat="1" ht="25" customHeight="1" spans="1:47">
      <c r="A17" s="72">
        <v>14</v>
      </c>
      <c r="B17" s="73" t="s">
        <v>74</v>
      </c>
      <c r="C17" s="82">
        <v>45362</v>
      </c>
      <c r="D17" s="75" t="s">
        <v>55</v>
      </c>
      <c r="E17" s="75" t="s">
        <v>66</v>
      </c>
      <c r="F17" s="76">
        <v>31</v>
      </c>
      <c r="G17" s="77">
        <v>10</v>
      </c>
      <c r="H17" s="78">
        <v>4000</v>
      </c>
      <c r="I17" s="78">
        <f t="shared" si="13"/>
        <v>1290.32</v>
      </c>
      <c r="J17" s="96">
        <f t="shared" si="14"/>
        <v>0</v>
      </c>
      <c r="K17" s="78">
        <f t="shared" si="23"/>
        <v>4252.95</v>
      </c>
      <c r="L17" s="100">
        <f>291.72-0</f>
        <v>291.72</v>
      </c>
      <c r="M17" s="97" t="str">
        <f t="shared" si="12"/>
        <v>0.36</v>
      </c>
      <c r="N17" s="98">
        <f t="shared" si="15"/>
        <v>105.02</v>
      </c>
      <c r="O17" s="100">
        <f>6383.98-2422.75</f>
        <v>3961.23</v>
      </c>
      <c r="P17" s="99">
        <f t="shared" si="16"/>
        <v>0.3</v>
      </c>
      <c r="Q17" s="107">
        <f t="shared" si="17"/>
        <v>1188.37</v>
      </c>
      <c r="R17" s="78">
        <v>0</v>
      </c>
      <c r="S17" s="97" t="str">
        <f t="shared" si="18"/>
        <v>0.03</v>
      </c>
      <c r="T17" s="98">
        <f t="shared" si="19"/>
        <v>0</v>
      </c>
      <c r="U17" s="100">
        <f>96-46.7</f>
        <v>49.3</v>
      </c>
      <c r="V17" s="108">
        <f t="shared" si="20"/>
        <v>2633.01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  <c r="AF17" s="78">
        <v>0</v>
      </c>
      <c r="AG17" s="78">
        <v>0</v>
      </c>
      <c r="AH17" s="78">
        <v>0</v>
      </c>
      <c r="AI17" s="78">
        <v>0</v>
      </c>
      <c r="AJ17" s="78">
        <v>0</v>
      </c>
      <c r="AK17" s="120">
        <f t="shared" si="21"/>
        <v>2633.01</v>
      </c>
      <c r="AL17" s="78">
        <v>105</v>
      </c>
      <c r="AM17" s="78">
        <v>0</v>
      </c>
      <c r="AN17" s="78">
        <v>0</v>
      </c>
      <c r="AO17" s="78">
        <v>0</v>
      </c>
      <c r="AP17" s="78">
        <v>0</v>
      </c>
      <c r="AQ17" s="78">
        <v>0</v>
      </c>
      <c r="AR17" s="78">
        <v>0</v>
      </c>
      <c r="AS17" s="78">
        <v>0</v>
      </c>
      <c r="AT17" s="120">
        <f t="shared" si="22"/>
        <v>2528.01</v>
      </c>
      <c r="AU17" s="125"/>
    </row>
    <row r="18" s="49" customFormat="1" ht="25" customHeight="1" spans="1:47">
      <c r="A18" s="72">
        <v>15</v>
      </c>
      <c r="B18" s="79" t="s">
        <v>75</v>
      </c>
      <c r="C18" s="82">
        <v>45360</v>
      </c>
      <c r="D18" s="75" t="s">
        <v>55</v>
      </c>
      <c r="E18" s="75" t="s">
        <v>66</v>
      </c>
      <c r="F18" s="76">
        <v>31</v>
      </c>
      <c r="G18" s="77">
        <v>8</v>
      </c>
      <c r="H18" s="78">
        <v>4000</v>
      </c>
      <c r="I18" s="78">
        <f t="shared" si="13"/>
        <v>1032.26</v>
      </c>
      <c r="J18" s="96">
        <f t="shared" si="14"/>
        <v>0</v>
      </c>
      <c r="K18" s="78">
        <f t="shared" si="23"/>
        <v>6276.78</v>
      </c>
      <c r="L18" s="100">
        <f>1622.12-0</f>
        <v>1622.12</v>
      </c>
      <c r="M18" s="97" t="str">
        <f t="shared" si="12"/>
        <v>0.36</v>
      </c>
      <c r="N18" s="98">
        <f t="shared" si="15"/>
        <v>583.96</v>
      </c>
      <c r="O18" s="100">
        <f>6946.77-2292.11</f>
        <v>4654.66</v>
      </c>
      <c r="P18" s="99">
        <f t="shared" si="16"/>
        <v>0.3</v>
      </c>
      <c r="Q18" s="107">
        <f t="shared" si="17"/>
        <v>1396.4</v>
      </c>
      <c r="R18" s="78">
        <v>2350</v>
      </c>
      <c r="S18" s="97" t="str">
        <f t="shared" si="18"/>
        <v>0.03</v>
      </c>
      <c r="T18" s="98">
        <f t="shared" si="19"/>
        <v>70.5</v>
      </c>
      <c r="U18" s="100">
        <f>99.3-13.2</f>
        <v>86.1</v>
      </c>
      <c r="V18" s="108">
        <f t="shared" si="20"/>
        <v>3169.22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  <c r="AF18" s="78">
        <v>0</v>
      </c>
      <c r="AG18" s="78">
        <v>0</v>
      </c>
      <c r="AH18" s="78">
        <v>0</v>
      </c>
      <c r="AI18" s="78">
        <v>0</v>
      </c>
      <c r="AJ18" s="78">
        <v>0</v>
      </c>
      <c r="AK18" s="120">
        <f t="shared" si="21"/>
        <v>3169.22</v>
      </c>
      <c r="AL18" s="78">
        <v>0</v>
      </c>
      <c r="AM18" s="78">
        <v>0</v>
      </c>
      <c r="AN18" s="78">
        <v>0</v>
      </c>
      <c r="AO18" s="78">
        <v>0</v>
      </c>
      <c r="AP18" s="78">
        <v>0</v>
      </c>
      <c r="AQ18" s="78">
        <v>0</v>
      </c>
      <c r="AR18" s="78">
        <v>0</v>
      </c>
      <c r="AS18" s="78">
        <v>0</v>
      </c>
      <c r="AT18" s="120">
        <f t="shared" si="22"/>
        <v>3169.22</v>
      </c>
      <c r="AU18" s="125"/>
    </row>
    <row r="19" s="49" customFormat="1" ht="25" customHeight="1" spans="1:47">
      <c r="A19" s="72">
        <v>16</v>
      </c>
      <c r="B19" s="78" t="s">
        <v>76</v>
      </c>
      <c r="C19" s="82">
        <v>45440</v>
      </c>
      <c r="D19" s="75" t="s">
        <v>55</v>
      </c>
      <c r="E19" s="75" t="s">
        <v>66</v>
      </c>
      <c r="F19" s="76">
        <v>0</v>
      </c>
      <c r="G19" s="77">
        <v>0</v>
      </c>
      <c r="H19" s="78">
        <v>0</v>
      </c>
      <c r="I19" s="78">
        <f>IFERROR(ROUND(H19/F19*G19,2),0)</f>
        <v>0</v>
      </c>
      <c r="J19" s="96">
        <f t="shared" si="14"/>
        <v>0</v>
      </c>
      <c r="K19" s="78">
        <f t="shared" si="23"/>
        <v>0</v>
      </c>
      <c r="L19" s="78">
        <v>0</v>
      </c>
      <c r="M19" s="97" t="str">
        <f t="shared" si="12"/>
        <v>0.36</v>
      </c>
      <c r="N19" s="98">
        <f t="shared" si="15"/>
        <v>0</v>
      </c>
      <c r="O19" s="78">
        <v>0</v>
      </c>
      <c r="P19" s="99">
        <f t="shared" si="16"/>
        <v>0.3</v>
      </c>
      <c r="Q19" s="107">
        <f t="shared" si="17"/>
        <v>0</v>
      </c>
      <c r="R19" s="78">
        <v>0</v>
      </c>
      <c r="S19" s="97" t="str">
        <f t="shared" si="18"/>
        <v>0.03</v>
      </c>
      <c r="T19" s="98">
        <f t="shared" si="19"/>
        <v>0</v>
      </c>
      <c r="U19" s="78">
        <v>0</v>
      </c>
      <c r="V19" s="108">
        <f t="shared" si="20"/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  <c r="AF19" s="78">
        <v>0</v>
      </c>
      <c r="AG19" s="78">
        <v>0</v>
      </c>
      <c r="AH19" s="78">
        <v>0</v>
      </c>
      <c r="AI19" s="78">
        <v>0</v>
      </c>
      <c r="AJ19" s="78">
        <v>0</v>
      </c>
      <c r="AK19" s="120">
        <f t="shared" si="21"/>
        <v>0</v>
      </c>
      <c r="AL19" s="78">
        <v>0</v>
      </c>
      <c r="AM19" s="78">
        <v>0</v>
      </c>
      <c r="AN19" s="78">
        <v>0</v>
      </c>
      <c r="AO19" s="78">
        <v>0</v>
      </c>
      <c r="AP19" s="78">
        <v>0</v>
      </c>
      <c r="AQ19" s="78">
        <v>0</v>
      </c>
      <c r="AR19" s="78">
        <v>0</v>
      </c>
      <c r="AS19" s="78">
        <v>0</v>
      </c>
      <c r="AT19" s="120">
        <f t="shared" si="22"/>
        <v>0</v>
      </c>
      <c r="AU19" s="125"/>
    </row>
    <row r="20" s="49" customFormat="1" ht="25" customHeight="1" spans="1:47">
      <c r="A20" s="72">
        <v>20</v>
      </c>
      <c r="B20" s="78" t="s">
        <v>77</v>
      </c>
      <c r="C20" s="78">
        <v>0</v>
      </c>
      <c r="D20" s="78">
        <v>0</v>
      </c>
      <c r="E20" s="78">
        <v>0</v>
      </c>
      <c r="F20" s="76">
        <v>5</v>
      </c>
      <c r="G20" s="77">
        <v>5</v>
      </c>
      <c r="H20" s="78">
        <v>250</v>
      </c>
      <c r="I20" s="78">
        <f>IFERROR(ROUND(H20/F20*G20,2),0)</f>
        <v>250</v>
      </c>
      <c r="J20" s="96">
        <f t="shared" si="14"/>
        <v>0</v>
      </c>
      <c r="K20" s="78">
        <f t="shared" si="23"/>
        <v>0</v>
      </c>
      <c r="L20" s="78">
        <v>0</v>
      </c>
      <c r="M20" s="97" t="str">
        <f t="shared" si="12"/>
        <v>0.36</v>
      </c>
      <c r="N20" s="98">
        <f t="shared" si="15"/>
        <v>0</v>
      </c>
      <c r="O20" s="78">
        <v>0</v>
      </c>
      <c r="P20" s="99">
        <f t="shared" si="16"/>
        <v>0.3</v>
      </c>
      <c r="Q20" s="107">
        <f t="shared" si="17"/>
        <v>0</v>
      </c>
      <c r="R20" s="78">
        <v>0</v>
      </c>
      <c r="S20" s="97" t="str">
        <f t="shared" si="18"/>
        <v>0.03</v>
      </c>
      <c r="T20" s="98">
        <f t="shared" si="19"/>
        <v>0</v>
      </c>
      <c r="U20" s="78">
        <v>0</v>
      </c>
      <c r="V20" s="108">
        <f t="shared" si="20"/>
        <v>250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  <c r="AF20" s="78">
        <v>0</v>
      </c>
      <c r="AG20" s="78">
        <v>0</v>
      </c>
      <c r="AH20" s="78">
        <v>0</v>
      </c>
      <c r="AI20" s="78">
        <v>0</v>
      </c>
      <c r="AJ20" s="78">
        <v>0</v>
      </c>
      <c r="AK20" s="120">
        <f t="shared" si="21"/>
        <v>250</v>
      </c>
      <c r="AL20" s="78">
        <v>0</v>
      </c>
      <c r="AM20" s="78">
        <v>0</v>
      </c>
      <c r="AN20" s="78">
        <v>0</v>
      </c>
      <c r="AO20" s="78">
        <v>0</v>
      </c>
      <c r="AP20" s="78">
        <v>0</v>
      </c>
      <c r="AQ20" s="78">
        <v>0</v>
      </c>
      <c r="AR20" s="78">
        <v>0</v>
      </c>
      <c r="AS20" s="78">
        <v>0</v>
      </c>
      <c r="AT20" s="120">
        <f t="shared" si="22"/>
        <v>250</v>
      </c>
      <c r="AU20" s="125" t="s">
        <v>78</v>
      </c>
    </row>
    <row r="21" s="49" customFormat="1" ht="25" customHeight="1" spans="1:47">
      <c r="A21" s="72">
        <v>20</v>
      </c>
      <c r="B21" s="78" t="s">
        <v>79</v>
      </c>
      <c r="C21" s="78">
        <v>0</v>
      </c>
      <c r="D21" s="78">
        <v>0</v>
      </c>
      <c r="E21" s="78">
        <v>0</v>
      </c>
      <c r="F21" s="76">
        <v>2</v>
      </c>
      <c r="G21" s="77">
        <v>2</v>
      </c>
      <c r="H21" s="78">
        <v>100</v>
      </c>
      <c r="I21" s="78">
        <f>IFERROR(ROUND(H21/F21*G21,2),0)</f>
        <v>100</v>
      </c>
      <c r="J21" s="96">
        <f t="shared" si="14"/>
        <v>0</v>
      </c>
      <c r="K21" s="78">
        <f t="shared" si="23"/>
        <v>0</v>
      </c>
      <c r="L21" s="78">
        <v>0</v>
      </c>
      <c r="M21" s="97" t="str">
        <f t="shared" si="12"/>
        <v>0.36</v>
      </c>
      <c r="N21" s="98">
        <f t="shared" si="15"/>
        <v>0</v>
      </c>
      <c r="O21" s="78">
        <v>0</v>
      </c>
      <c r="P21" s="99">
        <f t="shared" si="16"/>
        <v>0.3</v>
      </c>
      <c r="Q21" s="107">
        <f t="shared" si="17"/>
        <v>0</v>
      </c>
      <c r="R21" s="78">
        <v>0</v>
      </c>
      <c r="S21" s="97" t="str">
        <f t="shared" si="18"/>
        <v>0.03</v>
      </c>
      <c r="T21" s="98">
        <f t="shared" si="19"/>
        <v>0</v>
      </c>
      <c r="U21" s="78">
        <v>0</v>
      </c>
      <c r="V21" s="108">
        <f t="shared" si="20"/>
        <v>100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  <c r="AF21" s="78">
        <v>0</v>
      </c>
      <c r="AG21" s="78">
        <v>0</v>
      </c>
      <c r="AH21" s="78">
        <v>0</v>
      </c>
      <c r="AI21" s="78">
        <v>0</v>
      </c>
      <c r="AJ21" s="78">
        <v>0</v>
      </c>
      <c r="AK21" s="120">
        <f t="shared" si="21"/>
        <v>100</v>
      </c>
      <c r="AL21" s="78">
        <v>0</v>
      </c>
      <c r="AM21" s="78">
        <v>0</v>
      </c>
      <c r="AN21" s="78">
        <v>0</v>
      </c>
      <c r="AO21" s="78">
        <v>0</v>
      </c>
      <c r="AP21" s="78">
        <v>0</v>
      </c>
      <c r="AQ21" s="78">
        <v>0</v>
      </c>
      <c r="AR21" s="78">
        <v>0</v>
      </c>
      <c r="AS21" s="78">
        <v>0</v>
      </c>
      <c r="AT21" s="120">
        <f t="shared" si="22"/>
        <v>100</v>
      </c>
      <c r="AU21" s="125" t="s">
        <v>78</v>
      </c>
    </row>
    <row r="22" s="49" customFormat="1" ht="25" customHeight="1" spans="1:47">
      <c r="A22" s="72">
        <v>20</v>
      </c>
      <c r="B22" s="78" t="s">
        <v>80</v>
      </c>
      <c r="C22" s="78">
        <v>0</v>
      </c>
      <c r="D22" s="78">
        <v>0</v>
      </c>
      <c r="E22" s="78">
        <v>0</v>
      </c>
      <c r="F22" s="76">
        <v>2</v>
      </c>
      <c r="G22" s="77">
        <v>2</v>
      </c>
      <c r="H22" s="78">
        <v>100</v>
      </c>
      <c r="I22" s="78">
        <f>IFERROR(ROUND(H22/F22*G22,2),0)</f>
        <v>100</v>
      </c>
      <c r="J22" s="96">
        <f t="shared" si="14"/>
        <v>0</v>
      </c>
      <c r="K22" s="78">
        <f t="shared" si="23"/>
        <v>0</v>
      </c>
      <c r="L22" s="78">
        <v>0</v>
      </c>
      <c r="M22" s="97" t="str">
        <f t="shared" si="12"/>
        <v>0.36</v>
      </c>
      <c r="N22" s="98">
        <f t="shared" si="15"/>
        <v>0</v>
      </c>
      <c r="O22" s="78">
        <v>0</v>
      </c>
      <c r="P22" s="99">
        <f t="shared" si="16"/>
        <v>0.3</v>
      </c>
      <c r="Q22" s="107">
        <f t="shared" si="17"/>
        <v>0</v>
      </c>
      <c r="R22" s="78">
        <v>0</v>
      </c>
      <c r="S22" s="97" t="str">
        <f t="shared" si="18"/>
        <v>0.03</v>
      </c>
      <c r="T22" s="98">
        <f t="shared" si="19"/>
        <v>0</v>
      </c>
      <c r="U22" s="78">
        <v>0</v>
      </c>
      <c r="V22" s="108">
        <f t="shared" si="20"/>
        <v>100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  <c r="AF22" s="78">
        <v>0</v>
      </c>
      <c r="AG22" s="78">
        <v>0</v>
      </c>
      <c r="AH22" s="78">
        <v>0</v>
      </c>
      <c r="AI22" s="78">
        <v>0</v>
      </c>
      <c r="AJ22" s="78">
        <v>0</v>
      </c>
      <c r="AK22" s="120">
        <f t="shared" si="21"/>
        <v>100</v>
      </c>
      <c r="AL22" s="78">
        <v>0</v>
      </c>
      <c r="AM22" s="78">
        <v>0</v>
      </c>
      <c r="AN22" s="78">
        <v>0</v>
      </c>
      <c r="AO22" s="78">
        <v>0</v>
      </c>
      <c r="AP22" s="78">
        <v>0</v>
      </c>
      <c r="AQ22" s="78">
        <v>0</v>
      </c>
      <c r="AR22" s="78">
        <v>0</v>
      </c>
      <c r="AS22" s="78">
        <v>0</v>
      </c>
      <c r="AT22" s="120">
        <f t="shared" si="22"/>
        <v>100</v>
      </c>
      <c r="AU22" s="125" t="s">
        <v>78</v>
      </c>
    </row>
    <row r="23" s="49" customFormat="1" ht="25" customHeight="1" spans="1:47">
      <c r="A23" s="72">
        <v>20</v>
      </c>
      <c r="B23" s="78">
        <v>0</v>
      </c>
      <c r="C23" s="78">
        <v>0</v>
      </c>
      <c r="D23" s="78">
        <v>0</v>
      </c>
      <c r="E23" s="78">
        <v>0</v>
      </c>
      <c r="F23" s="76">
        <v>0</v>
      </c>
      <c r="G23" s="77">
        <v>0</v>
      </c>
      <c r="H23" s="78">
        <v>0</v>
      </c>
      <c r="I23" s="78">
        <f>IFERROR(ROUND(H23/F23*G23,2),0)</f>
        <v>0</v>
      </c>
      <c r="J23" s="96">
        <f>ROUND(IF(K23&lt;12000,0,"")&amp;IF(AND(K23&gt;=12000,K23&lt;16000),600,"")&amp;IF(AND(K23&gt;=16000,K23&lt;22000),900,"")&amp;IF(K23&gt;=22000,1200,""),2)</f>
        <v>0</v>
      </c>
      <c r="K23" s="78">
        <f>L23+O23</f>
        <v>0</v>
      </c>
      <c r="L23" s="78">
        <v>0</v>
      </c>
      <c r="M23" s="97" t="str">
        <f>IF(L23&lt;=6000,36%,"")&amp;IF(AND(L23&gt;=6001,L23&lt;=13000),38%,"")&amp;IF(L23&gt;13000,40%,"")</f>
        <v>0.36</v>
      </c>
      <c r="N23" s="98">
        <f>ROUND(L23*M23,2)</f>
        <v>0</v>
      </c>
      <c r="O23" s="78">
        <v>0</v>
      </c>
      <c r="P23" s="99">
        <f>IF(O23&lt;=13000,30%,IF(O23&gt;13000,32%))</f>
        <v>0.3</v>
      </c>
      <c r="Q23" s="107">
        <f>ROUND(O23*P23,2)</f>
        <v>0</v>
      </c>
      <c r="R23" s="78">
        <v>0</v>
      </c>
      <c r="S23" s="97" t="str">
        <f>IF(R23&lt;=8000,3%,"")&amp;IF(AND(R23&gt;=8001,R23&lt;=16000),4%,"")&amp;IF(AND(R23&gt;=16001,R23&lt;=24000),5%,"")&amp;IF(R23&gt;24000,6%,"")</f>
        <v>0.03</v>
      </c>
      <c r="T23" s="98">
        <f>ROUND(R23*S23,2)</f>
        <v>0</v>
      </c>
      <c r="U23" s="78">
        <v>0</v>
      </c>
      <c r="V23" s="108">
        <f>ROUND(I23+J23+N23+Q23+T23+U23,2)</f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  <c r="AF23" s="78">
        <v>0</v>
      </c>
      <c r="AG23" s="78">
        <v>0</v>
      </c>
      <c r="AH23" s="78">
        <v>0</v>
      </c>
      <c r="AI23" s="78">
        <v>0</v>
      </c>
      <c r="AJ23" s="78">
        <v>0</v>
      </c>
      <c r="AK23" s="120">
        <f>ROUND(V23+SUM(W23:AB23)-SUM(AC23:AJ23),2)</f>
        <v>0</v>
      </c>
      <c r="AL23" s="78">
        <v>0</v>
      </c>
      <c r="AM23" s="78">
        <v>0</v>
      </c>
      <c r="AN23" s="78">
        <v>0</v>
      </c>
      <c r="AO23" s="78">
        <v>0</v>
      </c>
      <c r="AP23" s="78">
        <v>0</v>
      </c>
      <c r="AQ23" s="78">
        <v>0</v>
      </c>
      <c r="AR23" s="78">
        <v>0</v>
      </c>
      <c r="AS23" s="78">
        <v>0</v>
      </c>
      <c r="AT23" s="120">
        <f>ROUND(AK23-SUM(AL23:AS23),2)</f>
        <v>0</v>
      </c>
      <c r="AU23" s="125"/>
    </row>
    <row r="24" s="50" customFormat="1" ht="25" customHeight="1" spans="1:47">
      <c r="A24" s="83"/>
      <c r="B24" s="84">
        <v>0</v>
      </c>
      <c r="C24" s="84">
        <v>0</v>
      </c>
      <c r="D24" s="84">
        <v>0</v>
      </c>
      <c r="E24" s="84">
        <v>0</v>
      </c>
      <c r="F24" s="84">
        <v>0</v>
      </c>
      <c r="G24" s="84">
        <v>0</v>
      </c>
      <c r="H24" s="84">
        <f>SUM(H4:H23)</f>
        <v>32650</v>
      </c>
      <c r="I24" s="84">
        <f>SUM(I4:I23)</f>
        <v>22327.42</v>
      </c>
      <c r="J24" s="84">
        <f t="shared" ref="I24:AT24" si="24">SUM(J4:J23)</f>
        <v>1200</v>
      </c>
      <c r="K24" s="84">
        <f t="shared" si="24"/>
        <v>79132.77</v>
      </c>
      <c r="L24" s="84">
        <f t="shared" si="24"/>
        <v>13034.16</v>
      </c>
      <c r="M24" s="84">
        <f t="shared" si="24"/>
        <v>0</v>
      </c>
      <c r="N24" s="84">
        <f t="shared" si="24"/>
        <v>4692.3</v>
      </c>
      <c r="O24" s="84">
        <f t="shared" si="24"/>
        <v>66098.61</v>
      </c>
      <c r="P24" s="84">
        <f t="shared" si="24"/>
        <v>6</v>
      </c>
      <c r="Q24" s="84">
        <f t="shared" si="24"/>
        <v>19829.6</v>
      </c>
      <c r="R24" s="84">
        <f t="shared" si="24"/>
        <v>28200</v>
      </c>
      <c r="S24" s="84">
        <f t="shared" si="24"/>
        <v>0</v>
      </c>
      <c r="T24" s="84">
        <f t="shared" si="24"/>
        <v>948.6</v>
      </c>
      <c r="U24" s="84">
        <f t="shared" si="24"/>
        <v>1576.4</v>
      </c>
      <c r="V24" s="84">
        <f t="shared" si="24"/>
        <v>50574.32</v>
      </c>
      <c r="W24" s="84">
        <f t="shared" si="24"/>
        <v>1750</v>
      </c>
      <c r="X24" s="84">
        <f t="shared" si="24"/>
        <v>0</v>
      </c>
      <c r="Y24" s="84">
        <f t="shared" si="24"/>
        <v>0</v>
      </c>
      <c r="Z24" s="84">
        <f t="shared" si="24"/>
        <v>800</v>
      </c>
      <c r="AA24" s="84">
        <f t="shared" si="24"/>
        <v>291.99</v>
      </c>
      <c r="AB24" s="84">
        <f t="shared" si="24"/>
        <v>3325</v>
      </c>
      <c r="AC24" s="84">
        <f t="shared" si="24"/>
        <v>500</v>
      </c>
      <c r="AD24" s="84">
        <f t="shared" si="24"/>
        <v>0</v>
      </c>
      <c r="AE24" s="84">
        <f t="shared" si="24"/>
        <v>0</v>
      </c>
      <c r="AF24" s="84">
        <f t="shared" si="24"/>
        <v>0</v>
      </c>
      <c r="AG24" s="84">
        <f t="shared" si="24"/>
        <v>0</v>
      </c>
      <c r="AH24" s="84">
        <f t="shared" si="24"/>
        <v>250</v>
      </c>
      <c r="AI24" s="84">
        <f t="shared" si="24"/>
        <v>0</v>
      </c>
      <c r="AJ24" s="84">
        <f t="shared" si="24"/>
        <v>536</v>
      </c>
      <c r="AK24" s="84">
        <f t="shared" si="24"/>
        <v>55455.31</v>
      </c>
      <c r="AL24" s="84">
        <f t="shared" si="24"/>
        <v>635</v>
      </c>
      <c r="AM24" s="84">
        <f t="shared" ref="AL24:AT24" si="25">SUM(AM4:AM23)</f>
        <v>0</v>
      </c>
      <c r="AN24" s="84">
        <f t="shared" si="25"/>
        <v>450</v>
      </c>
      <c r="AO24" s="84">
        <f t="shared" si="25"/>
        <v>0</v>
      </c>
      <c r="AP24" s="84">
        <f t="shared" si="25"/>
        <v>0</v>
      </c>
      <c r="AQ24" s="84">
        <f t="shared" si="25"/>
        <v>0</v>
      </c>
      <c r="AR24" s="84">
        <f t="shared" si="25"/>
        <v>0</v>
      </c>
      <c r="AS24" s="84">
        <f t="shared" si="25"/>
        <v>0</v>
      </c>
      <c r="AT24" s="84">
        <f t="shared" si="25"/>
        <v>54370.31</v>
      </c>
      <c r="AU24" s="126"/>
    </row>
    <row r="25" s="49" customFormat="1" ht="25" customHeight="1" spans="1:47">
      <c r="A25" s="50"/>
      <c r="B25" s="50"/>
      <c r="C25" s="50"/>
      <c r="D25" s="51"/>
      <c r="E25" s="51"/>
      <c r="G25" s="50"/>
      <c r="H25" s="54"/>
      <c r="I25" s="54"/>
      <c r="J25" s="53"/>
      <c r="K25" s="54"/>
      <c r="L25" s="55"/>
      <c r="M25" s="56"/>
      <c r="N25" s="57"/>
      <c r="O25" s="50"/>
      <c r="Q25" s="58"/>
      <c r="R25" s="59"/>
      <c r="T25" s="60"/>
      <c r="U25" s="57"/>
      <c r="W25" s="50"/>
      <c r="X25" s="50"/>
      <c r="Y25" s="50"/>
      <c r="Z25" s="50"/>
      <c r="AA25" s="50"/>
      <c r="AB25" s="50"/>
      <c r="AD25" s="50"/>
      <c r="AE25" s="50"/>
      <c r="AF25" s="50"/>
      <c r="AH25" s="50"/>
      <c r="AJ25" s="50"/>
      <c r="AK25" s="121"/>
      <c r="AL25" s="50"/>
      <c r="AM25" s="50"/>
      <c r="AN25" s="50"/>
      <c r="AP25" s="50"/>
      <c r="AQ25" s="50"/>
      <c r="AR25" s="50"/>
      <c r="AS25" s="50"/>
      <c r="AU25" s="61"/>
    </row>
    <row r="26" s="49" customFormat="1" ht="25" customHeight="1" spans="1:47">
      <c r="A26" s="50"/>
      <c r="B26" s="50"/>
      <c r="C26" s="50"/>
      <c r="D26" s="51"/>
      <c r="E26" s="51"/>
      <c r="G26" s="50"/>
      <c r="H26" s="52"/>
      <c r="I26" s="52"/>
      <c r="J26" s="53"/>
      <c r="K26" s="54"/>
      <c r="L26" s="55"/>
      <c r="M26" s="56"/>
      <c r="N26" s="57"/>
      <c r="O26" s="50"/>
      <c r="Q26" s="58"/>
      <c r="R26" s="59"/>
      <c r="T26" s="60"/>
      <c r="U26" s="57"/>
      <c r="V26" s="109"/>
      <c r="W26" s="50"/>
      <c r="X26" s="50"/>
      <c r="Y26" s="50"/>
      <c r="Z26" s="50"/>
      <c r="AA26" s="50"/>
      <c r="AB26" s="50"/>
      <c r="AD26" s="50"/>
      <c r="AE26" s="50"/>
      <c r="AF26" s="50"/>
      <c r="AH26" s="50"/>
      <c r="AJ26" s="50"/>
      <c r="AL26" s="50"/>
      <c r="AM26" s="50"/>
      <c r="AN26" s="50"/>
      <c r="AP26" s="50"/>
      <c r="AQ26" s="50"/>
      <c r="AR26" s="50"/>
      <c r="AS26" s="50"/>
      <c r="AU26" s="61"/>
    </row>
    <row r="27" s="49" customFormat="1" ht="25" customHeight="1" spans="1:47">
      <c r="A27" s="50"/>
      <c r="B27" s="50"/>
      <c r="C27" s="50"/>
      <c r="D27" s="51"/>
      <c r="E27" s="51"/>
      <c r="G27" s="50"/>
      <c r="H27" s="52"/>
      <c r="I27" s="52"/>
      <c r="J27" s="53"/>
      <c r="K27" s="54"/>
      <c r="L27" s="55"/>
      <c r="M27" s="56"/>
      <c r="N27" s="57"/>
      <c r="O27" s="50"/>
      <c r="Q27" s="58"/>
      <c r="R27" s="59"/>
      <c r="T27" s="60"/>
      <c r="U27" s="57"/>
      <c r="V27" s="110"/>
      <c r="W27" s="50"/>
      <c r="X27" s="50"/>
      <c r="Y27" s="50"/>
      <c r="Z27" s="50"/>
      <c r="AA27" s="50"/>
      <c r="AB27" s="50"/>
      <c r="AD27" s="50"/>
      <c r="AE27" s="50"/>
      <c r="AF27" s="50"/>
      <c r="AH27" s="50"/>
      <c r="AJ27" s="50"/>
      <c r="AL27" s="50"/>
      <c r="AM27" s="50"/>
      <c r="AN27" s="50"/>
      <c r="AP27" s="50"/>
      <c r="AQ27" s="50"/>
      <c r="AR27" s="50"/>
      <c r="AS27" s="50"/>
      <c r="AU27" s="61"/>
    </row>
  </sheetData>
  <sheetProtection formatColumns="0" formatRows="0" autoFilter="0"/>
  <autoFilter ref="A2:E24">
    <extLst/>
  </autoFilter>
  <mergeCells count="25">
    <mergeCell ref="A1:N1"/>
    <mergeCell ref="L2:Q2"/>
    <mergeCell ref="R2:T2"/>
    <mergeCell ref="W2:AB2"/>
    <mergeCell ref="AC2:AF2"/>
    <mergeCell ref="AG2:AJ2"/>
    <mergeCell ref="AL2:AQ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AK2:AK3"/>
    <mergeCell ref="AR2:AR3"/>
    <mergeCell ref="AS2:AS3"/>
    <mergeCell ref="AT2:AT3"/>
    <mergeCell ref="AU2:AU3"/>
  </mergeCells>
  <conditionalFormatting sqref="A24">
    <cfRule type="duplicateValues" dxfId="0" priority="731"/>
  </conditionalFormatting>
  <conditionalFormatting sqref="B1:B3 B25:B1048576">
    <cfRule type="duplicateValues" dxfId="0" priority="1"/>
    <cfRule type="duplicateValues" dxfId="0" priority="222"/>
    <cfRule type="duplicateValues" dxfId="0" priority="432"/>
    <cfRule type="duplicateValues" dxfId="0" priority="470"/>
    <cfRule type="duplicateValues" dxfId="0" priority="556"/>
    <cfRule type="duplicateValues" dxfId="0" priority="573"/>
    <cfRule type="duplicateValues" dxfId="0" priority="619"/>
    <cfRule type="duplicateValues" dxfId="0" priority="620"/>
    <cfRule type="duplicateValues" dxfId="0" priority="647"/>
    <cfRule type="duplicateValues" dxfId="0" priority="660"/>
    <cfRule type="duplicateValues" dxfId="0" priority="661"/>
    <cfRule type="duplicateValues" dxfId="0" priority="662"/>
    <cfRule type="duplicateValues" dxfId="0" priority="663"/>
    <cfRule type="duplicateValues" dxfId="0" priority="664"/>
    <cfRule type="duplicateValues" dxfId="0" priority="672"/>
    <cfRule type="duplicateValues" dxfId="0" priority="673"/>
    <cfRule type="duplicateValues" dxfId="0" priority="752"/>
    <cfRule type="duplicateValues" dxfId="0" priority="757"/>
    <cfRule type="duplicateValues" dxfId="0" priority="773"/>
    <cfRule type="duplicateValues" dxfId="0" priority="780"/>
    <cfRule type="duplicateValues" dxfId="0" priority="790"/>
  </conditionalFormatting>
  <pageMargins left="0.7" right="0.7" top="0.75" bottom="0.75" header="0.3" footer="0.3"/>
  <pageSetup paperSize="9" orientation="portrait"/>
  <headerFooter/>
  <ignoredErrors>
    <ignoredError sqref="AJ14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L14" sqref="L14"/>
    </sheetView>
  </sheetViews>
  <sheetFormatPr defaultColWidth="9" defaultRowHeight="25" customHeight="1"/>
  <cols>
    <col min="1" max="1" width="6.87962962962963" style="19" customWidth="1"/>
    <col min="2" max="2" width="9.87962962962963" style="19" customWidth="1"/>
    <col min="3" max="3" width="11.3796296296296" style="19" customWidth="1"/>
    <col min="4" max="4" width="9.87962962962963" style="19" customWidth="1"/>
    <col min="5" max="5" width="13.9722222222222" style="19" customWidth="1"/>
    <col min="6" max="6" width="12.5092592592593" style="19" customWidth="1"/>
    <col min="7" max="7" width="9.12962962962963" style="19" customWidth="1"/>
    <col min="8" max="8" width="12" style="19" customWidth="1"/>
    <col min="9" max="9" width="10.1296296296296" style="19" customWidth="1"/>
    <col min="10" max="10" width="13" style="19" customWidth="1"/>
    <col min="11" max="11" width="14" style="19" customWidth="1"/>
    <col min="12" max="12" width="10.1296296296296" style="19" customWidth="1"/>
    <col min="13" max="13" width="12.2592592592593" style="19" customWidth="1"/>
    <col min="14" max="14" width="19.6296296296296" style="19" customWidth="1"/>
    <col min="15" max="15" width="22.5092592592593" style="19" customWidth="1"/>
    <col min="16" max="18" width="12.6296296296296" style="19"/>
    <col min="19" max="16384" width="9" style="19"/>
  </cols>
  <sheetData>
    <row r="1" s="21" customFormat="1" ht="33" customHeight="1" spans="1:14">
      <c r="A1" s="24" t="s">
        <v>81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="22" customFormat="1" ht="24" customHeight="1" spans="1:15">
      <c r="A2" s="25" t="s">
        <v>1</v>
      </c>
      <c r="B2" s="26" t="s">
        <v>2</v>
      </c>
      <c r="C2" s="27" t="s">
        <v>82</v>
      </c>
      <c r="D2" s="26" t="s">
        <v>4</v>
      </c>
      <c r="E2" s="28" t="s">
        <v>5</v>
      </c>
      <c r="F2" s="29" t="s">
        <v>83</v>
      </c>
      <c r="G2" s="30"/>
      <c r="H2" s="30"/>
      <c r="I2" s="30"/>
      <c r="J2" s="30"/>
      <c r="K2" s="30"/>
      <c r="L2" s="44" t="s">
        <v>84</v>
      </c>
      <c r="M2" s="44"/>
      <c r="N2" s="45" t="s">
        <v>85</v>
      </c>
      <c r="O2" s="45" t="s">
        <v>24</v>
      </c>
    </row>
    <row r="3" s="22" customFormat="1" ht="30" customHeight="1" spans="1:15">
      <c r="A3" s="25"/>
      <c r="B3" s="31"/>
      <c r="C3" s="32"/>
      <c r="D3" s="31"/>
      <c r="E3" s="33"/>
      <c r="F3" s="34" t="s">
        <v>86</v>
      </c>
      <c r="G3" s="35" t="s">
        <v>87</v>
      </c>
      <c r="H3" s="34" t="s">
        <v>88</v>
      </c>
      <c r="I3" s="34" t="s">
        <v>89</v>
      </c>
      <c r="J3" s="34" t="s">
        <v>90</v>
      </c>
      <c r="K3" s="29" t="s">
        <v>91</v>
      </c>
      <c r="L3" s="46" t="s">
        <v>92</v>
      </c>
      <c r="M3" s="25" t="s">
        <v>93</v>
      </c>
      <c r="N3" s="45"/>
      <c r="O3" s="45"/>
    </row>
    <row r="4" s="23" customFormat="1" customHeight="1" spans="1:15">
      <c r="A4" s="36">
        <v>1</v>
      </c>
      <c r="B4" s="36" t="s">
        <v>54</v>
      </c>
      <c r="C4" s="37">
        <v>45634</v>
      </c>
      <c r="D4" s="36" t="s">
        <v>55</v>
      </c>
      <c r="E4" s="38" t="s">
        <v>56</v>
      </c>
      <c r="F4" s="39"/>
      <c r="G4" s="40" t="str">
        <f>IF(F4&lt;=10000,0,"")&amp;IF(AND(F4&gt;10000,F4&lt;=20000),4%,"")&amp;IF(AND(F4&gt;20000,F4&lt;=60000),5%,"")&amp;IF(F4&gt;60000,6%,"")</f>
        <v>0</v>
      </c>
      <c r="H4" s="39">
        <f>F4*G4</f>
        <v>0</v>
      </c>
      <c r="I4" s="47">
        <v>81</v>
      </c>
      <c r="J4" s="48" t="str">
        <f>IF(I4&lt;=50,70%,"")&amp;IF(AND(I4&gt;50,I4&lt;=70),80%,"")&amp;IF(I4&gt;=90,100%,"")&amp;IF(AND(I4&gt;70,I4&lt;90),90%,"")</f>
        <v>0.9</v>
      </c>
      <c r="K4" s="39">
        <f>J4*H4</f>
        <v>0</v>
      </c>
      <c r="L4" s="36">
        <v>0</v>
      </c>
      <c r="M4" s="36">
        <v>0</v>
      </c>
      <c r="N4" s="39">
        <f>K4-L4-M4</f>
        <v>0</v>
      </c>
      <c r="O4" s="36"/>
    </row>
    <row r="5" s="23" customFormat="1" customHeight="1" spans="1:15">
      <c r="A5" s="36">
        <v>2</v>
      </c>
      <c r="B5" s="36"/>
      <c r="C5" s="37"/>
      <c r="D5" s="36"/>
      <c r="E5" s="41"/>
      <c r="F5" s="39"/>
      <c r="G5" s="40" t="str">
        <f>IF(F5&lt;=10000,0,"")&amp;IF(AND(F5&gt;=10000,F5&lt;=30000),3%,"")&amp;IF(AND(F5&gt;=30001,F5&lt;=100000),4%,"")&amp;IF(F5&gt;100000,5%,"")</f>
        <v>0</v>
      </c>
      <c r="H5" s="39">
        <f>F5*G5</f>
        <v>0</v>
      </c>
      <c r="I5" s="47"/>
      <c r="J5" s="48"/>
      <c r="K5" s="39">
        <f>J5*H5</f>
        <v>0</v>
      </c>
      <c r="L5" s="36"/>
      <c r="M5" s="36"/>
      <c r="N5" s="39">
        <f>K5-L5-M5</f>
        <v>0</v>
      </c>
      <c r="O5" s="36"/>
    </row>
    <row r="6" s="23" customFormat="1" customHeight="1" spans="1:15">
      <c r="A6" s="42"/>
      <c r="B6" s="42"/>
      <c r="C6" s="42"/>
      <c r="D6" s="42"/>
      <c r="E6" s="42" t="s">
        <v>94</v>
      </c>
      <c r="F6" s="43"/>
      <c r="G6" s="42"/>
      <c r="H6" s="43">
        <f>SUM(H4:H5)</f>
        <v>0</v>
      </c>
      <c r="I6" s="42"/>
      <c r="J6" s="42"/>
      <c r="K6" s="43">
        <f>SUM(K4:K5)</f>
        <v>0</v>
      </c>
      <c r="L6" s="42">
        <f>SUM(L4:L5)</f>
        <v>0</v>
      </c>
      <c r="M6" s="42">
        <f>SUM(M4:M5)</f>
        <v>0</v>
      </c>
      <c r="N6" s="43">
        <f>SUM(N4:N5)</f>
        <v>0</v>
      </c>
      <c r="O6" s="42"/>
    </row>
    <row r="9" s="19" customFormat="1" customHeight="1" spans="8:8">
      <c r="H9"/>
    </row>
    <row r="10" s="19" customFormat="1" customHeight="1" spans="8:8">
      <c r="H10"/>
    </row>
    <row r="11" s="19" customFormat="1" customHeight="1" spans="8:8">
      <c r="H11"/>
    </row>
    <row r="12" s="19" customFormat="1" customHeight="1" spans="8:8">
      <c r="H12"/>
    </row>
    <row r="13" s="19" customFormat="1" customHeight="1" spans="8:8">
      <c r="H13"/>
    </row>
  </sheetData>
  <sheetProtection formatCells="0" insertHyperlinks="0" autoFilter="0"/>
  <mergeCells count="10">
    <mergeCell ref="A1:N1"/>
    <mergeCell ref="F2:K2"/>
    <mergeCell ref="L2:M2"/>
    <mergeCell ref="A2:A3"/>
    <mergeCell ref="B2:B3"/>
    <mergeCell ref="C2:C3"/>
    <mergeCell ref="D2:D3"/>
    <mergeCell ref="E2:E3"/>
    <mergeCell ref="N2:N3"/>
    <mergeCell ref="O2:O3"/>
  </mergeCells>
  <conditionalFormatting sqref="A2">
    <cfRule type="duplicateValues" dxfId="0" priority="1"/>
  </conditionalFormatting>
  <conditionalFormatting sqref="B2">
    <cfRule type="duplicateValues" dxfId="0" priority="2"/>
  </conditionalFormatting>
  <conditionalFormatting sqref="L2">
    <cfRule type="cellIs" dxfId="1" priority="3" operator="lessThan">
      <formula>5000</formula>
    </cfRule>
  </conditionalFormatting>
  <conditionalFormatting sqref="L3">
    <cfRule type="cellIs" dxfId="1" priority="4" operator="lessThan">
      <formula>5000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O20" sqref="O20"/>
    </sheetView>
  </sheetViews>
  <sheetFormatPr defaultColWidth="8.62037037037037" defaultRowHeight="14.4"/>
  <cols>
    <col min="1" max="1" width="15.2037037037037" customWidth="1"/>
    <col min="2" max="2" width="12.962962962963" hidden="1" customWidth="1"/>
    <col min="3" max="3" width="12.962962962963" customWidth="1"/>
    <col min="4" max="11" width="12.962962962963" hidden="1" customWidth="1"/>
    <col min="14" max="14" width="12.6296296296296" style="1"/>
  </cols>
  <sheetData>
    <row r="1" ht="29" customHeight="1" spans="1:13">
      <c r="A1" s="2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t="s">
        <v>96</v>
      </c>
      <c r="M1" t="s">
        <v>97</v>
      </c>
    </row>
    <row r="2" ht="20" customHeight="1" spans="1:11">
      <c r="A2" s="3" t="s">
        <v>98</v>
      </c>
      <c r="B2" s="3" t="s">
        <v>99</v>
      </c>
      <c r="C2" s="3" t="s">
        <v>100</v>
      </c>
      <c r="D2" s="3" t="s">
        <v>101</v>
      </c>
      <c r="E2" s="3" t="s">
        <v>102</v>
      </c>
      <c r="F2" s="3" t="s">
        <v>103</v>
      </c>
      <c r="G2" s="3" t="s">
        <v>104</v>
      </c>
      <c r="H2" s="3" t="s">
        <v>105</v>
      </c>
      <c r="I2" s="3" t="s">
        <v>106</v>
      </c>
      <c r="J2" s="3" t="s">
        <v>107</v>
      </c>
      <c r="K2" s="3" t="s">
        <v>108</v>
      </c>
    </row>
    <row r="3" ht="20" customHeight="1" spans="1:11">
      <c r="A3" s="3" t="s">
        <v>109</v>
      </c>
      <c r="B3" s="4" t="s">
        <v>110</v>
      </c>
      <c r="C3" s="4" t="s">
        <v>110</v>
      </c>
      <c r="D3" s="4" t="s">
        <v>110</v>
      </c>
      <c r="E3" s="4" t="s">
        <v>110</v>
      </c>
      <c r="F3" s="4" t="s">
        <v>110</v>
      </c>
      <c r="G3" s="4" t="s">
        <v>110</v>
      </c>
      <c r="H3" s="4" t="s">
        <v>110</v>
      </c>
      <c r="I3" s="4" t="s">
        <v>110</v>
      </c>
      <c r="J3" s="4" t="s">
        <v>110</v>
      </c>
      <c r="K3" s="4" t="s">
        <v>110</v>
      </c>
    </row>
    <row r="4" ht="20" customHeight="1" spans="1:11">
      <c r="A4" s="5" t="s">
        <v>111</v>
      </c>
      <c r="B4" s="6">
        <v>0.03</v>
      </c>
      <c r="C4" s="6">
        <v>0.03</v>
      </c>
      <c r="D4" s="6">
        <v>0.3</v>
      </c>
      <c r="E4" s="6">
        <v>0.2</v>
      </c>
      <c r="F4" s="6">
        <v>0.23</v>
      </c>
      <c r="G4" s="7"/>
      <c r="H4" s="6">
        <v>0.26</v>
      </c>
      <c r="I4" s="7"/>
      <c r="J4" s="6">
        <v>0.21</v>
      </c>
      <c r="K4" s="6">
        <v>0.26</v>
      </c>
    </row>
    <row r="5" ht="20" hidden="1" customHeight="1" spans="1:11">
      <c r="A5" s="3" t="s">
        <v>112</v>
      </c>
      <c r="B5" s="8">
        <v>0.005</v>
      </c>
      <c r="C5" s="8">
        <v>0.005</v>
      </c>
      <c r="D5" s="8">
        <v>0.005</v>
      </c>
      <c r="E5" s="8">
        <v>0.005</v>
      </c>
      <c r="F5" s="8">
        <v>0.005</v>
      </c>
      <c r="G5" s="8">
        <v>0.005</v>
      </c>
      <c r="H5" s="8">
        <v>0.005</v>
      </c>
      <c r="I5" s="8">
        <v>0.005</v>
      </c>
      <c r="J5" s="8">
        <v>0.005</v>
      </c>
      <c r="K5" s="8">
        <v>0.005</v>
      </c>
    </row>
    <row r="6" ht="20" hidden="1" customHeight="1" spans="1:11">
      <c r="A6" s="3" t="s">
        <v>113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ht="20" customHeight="1" spans="1:11">
      <c r="A7" s="3" t="s">
        <v>114</v>
      </c>
      <c r="B7" s="8">
        <v>0.005</v>
      </c>
      <c r="C7" s="8">
        <v>0.005</v>
      </c>
      <c r="D7" s="8">
        <v>0.005</v>
      </c>
      <c r="E7" s="8">
        <v>0.005</v>
      </c>
      <c r="F7" s="8">
        <v>0.005</v>
      </c>
      <c r="G7" s="8">
        <v>0.005</v>
      </c>
      <c r="H7" s="8">
        <v>0.005</v>
      </c>
      <c r="I7" s="8">
        <v>0.005</v>
      </c>
      <c r="J7" s="8">
        <v>0.005</v>
      </c>
      <c r="K7" s="8">
        <v>0.005</v>
      </c>
    </row>
    <row r="8" ht="20" customHeight="1" spans="1:11">
      <c r="A8" s="9" t="s">
        <v>115</v>
      </c>
      <c r="B8" s="10">
        <v>50</v>
      </c>
      <c r="C8" s="11">
        <v>50</v>
      </c>
      <c r="D8" s="11">
        <v>50</v>
      </c>
      <c r="E8" s="11">
        <v>50</v>
      </c>
      <c r="F8" s="11">
        <v>50</v>
      </c>
      <c r="G8" s="11">
        <v>50</v>
      </c>
      <c r="H8" s="11">
        <v>50</v>
      </c>
      <c r="I8" s="11">
        <v>50</v>
      </c>
      <c r="J8" s="11">
        <v>50</v>
      </c>
      <c r="K8" s="11">
        <v>50</v>
      </c>
    </row>
    <row r="9" ht="20" customHeight="1" spans="1:11">
      <c r="A9" s="3" t="s">
        <v>116</v>
      </c>
      <c r="B9" s="12">
        <v>0.03</v>
      </c>
      <c r="C9" s="12">
        <v>0.05</v>
      </c>
      <c r="D9" s="8">
        <v>0.374</v>
      </c>
      <c r="E9" s="8">
        <v>0.2731</v>
      </c>
      <c r="F9" s="8">
        <v>0.3048</v>
      </c>
      <c r="G9" s="4"/>
      <c r="H9" s="8">
        <v>0.3339</v>
      </c>
      <c r="I9" s="4"/>
      <c r="J9" s="8">
        <v>0.2811</v>
      </c>
      <c r="K9" s="8">
        <v>0.3276</v>
      </c>
    </row>
    <row r="10" ht="20" customHeight="1" spans="1:14">
      <c r="A10" s="13" t="s">
        <v>117</v>
      </c>
      <c r="B10" s="14">
        <v>0.15</v>
      </c>
      <c r="C10" s="14">
        <v>0.19</v>
      </c>
      <c r="D10" s="14">
        <v>0.4</v>
      </c>
      <c r="E10" s="15">
        <v>0.32</v>
      </c>
      <c r="F10" s="15">
        <v>0.35</v>
      </c>
      <c r="G10" s="16"/>
      <c r="H10" s="15">
        <v>0.38</v>
      </c>
      <c r="I10" s="16"/>
      <c r="J10" s="15">
        <v>0.33</v>
      </c>
      <c r="K10" s="15">
        <v>0.38</v>
      </c>
      <c r="L10">
        <v>68</v>
      </c>
      <c r="M10">
        <v>361</v>
      </c>
      <c r="N10" s="20">
        <f>L10/M10</f>
        <v>0.188365650969529</v>
      </c>
    </row>
    <row r="11" ht="20" customHeight="1" spans="1:11">
      <c r="A11" s="3" t="s">
        <v>118</v>
      </c>
      <c r="B11" s="12">
        <f t="shared" ref="B11:K11" si="0">B10-B9</f>
        <v>0.12</v>
      </c>
      <c r="C11" s="12">
        <f t="shared" si="0"/>
        <v>0.14</v>
      </c>
      <c r="D11" s="12">
        <f t="shared" si="0"/>
        <v>0.026</v>
      </c>
      <c r="E11" s="12">
        <f t="shared" si="0"/>
        <v>0.0469</v>
      </c>
      <c r="F11" s="12">
        <f t="shared" si="0"/>
        <v>0.0452</v>
      </c>
      <c r="G11" s="12">
        <f t="shared" si="0"/>
        <v>0</v>
      </c>
      <c r="H11" s="12">
        <f t="shared" si="0"/>
        <v>0.0461</v>
      </c>
      <c r="I11" s="12">
        <f t="shared" si="0"/>
        <v>0</v>
      </c>
      <c r="J11" s="12">
        <f t="shared" si="0"/>
        <v>0.0489</v>
      </c>
      <c r="K11" s="12">
        <f t="shared" si="0"/>
        <v>0.0524</v>
      </c>
    </row>
    <row r="12" ht="20" customHeight="1" spans="1:11">
      <c r="A12" s="17" t="s">
        <v>119</v>
      </c>
      <c r="B12" s="18">
        <f t="shared" ref="B12:K12" si="1">(B10-B4)/B7*B8</f>
        <v>1200</v>
      </c>
      <c r="C12" s="18">
        <f t="shared" si="1"/>
        <v>1600</v>
      </c>
      <c r="D12" s="18">
        <f t="shared" si="1"/>
        <v>1000</v>
      </c>
      <c r="E12" s="18">
        <f t="shared" si="1"/>
        <v>1200</v>
      </c>
      <c r="F12" s="18">
        <f t="shared" si="1"/>
        <v>1200</v>
      </c>
      <c r="G12" s="18">
        <f t="shared" si="1"/>
        <v>0</v>
      </c>
      <c r="H12" s="18">
        <f t="shared" si="1"/>
        <v>1200</v>
      </c>
      <c r="I12" s="18">
        <f t="shared" si="1"/>
        <v>0</v>
      </c>
      <c r="J12" s="18">
        <f t="shared" si="1"/>
        <v>1200</v>
      </c>
      <c r="K12" s="18">
        <f t="shared" si="1"/>
        <v>1200</v>
      </c>
    </row>
    <row r="13" customFormat="1" ht="20" customHeight="1" spans="1:14">
      <c r="A13" s="19" t="s">
        <v>24</v>
      </c>
      <c r="B13" s="19" t="s">
        <v>120</v>
      </c>
      <c r="C13" s="19"/>
      <c r="D13" s="19" t="s">
        <v>121</v>
      </c>
      <c r="E13" s="19" t="s">
        <v>121</v>
      </c>
      <c r="N13" s="1"/>
    </row>
    <row r="14" customFormat="1" ht="20" customHeight="1" spans="1:14">
      <c r="A14" s="19"/>
      <c r="B14" s="19"/>
      <c r="C14" s="19"/>
      <c r="D14" s="19"/>
      <c r="E14" s="19"/>
      <c r="N14" s="1"/>
    </row>
    <row r="15" customFormat="1" ht="20" customHeight="1" spans="1:14">
      <c r="A15" s="19"/>
      <c r="B15" s="19"/>
      <c r="C15" s="19"/>
      <c r="D15" s="19"/>
      <c r="E15" s="19"/>
      <c r="N15" s="1"/>
    </row>
    <row r="16" customFormat="1" ht="20" customHeight="1" spans="1:14">
      <c r="A16" s="19"/>
      <c r="B16" s="19"/>
      <c r="C16" s="19"/>
      <c r="D16" s="19"/>
      <c r="E16" s="19"/>
      <c r="N16" s="1"/>
    </row>
    <row r="17" customFormat="1" ht="20" customHeight="1" spans="1:14">
      <c r="A17" s="19"/>
      <c r="B17" s="19"/>
      <c r="C17" s="19"/>
      <c r="D17" s="19"/>
      <c r="E17" s="19"/>
      <c r="N17" s="1"/>
    </row>
    <row r="18" customFormat="1" ht="20" customHeight="1" spans="1:14">
      <c r="A18" s="19"/>
      <c r="B18" s="19"/>
      <c r="C18" s="19"/>
      <c r="D18" s="19"/>
      <c r="E18" s="19"/>
      <c r="N18" s="1"/>
    </row>
    <row r="19" customFormat="1" ht="20" customHeight="1" spans="1:14">
      <c r="A19" s="19"/>
      <c r="B19" s="19"/>
      <c r="C19" s="19"/>
      <c r="D19" s="19"/>
      <c r="E19" s="19"/>
      <c r="N19" s="1"/>
    </row>
    <row r="20" customFormat="1" ht="20" customHeight="1" spans="1:14">
      <c r="A20" s="19"/>
      <c r="B20" s="19"/>
      <c r="C20" s="19"/>
      <c r="D20" s="19"/>
      <c r="E20" s="19"/>
      <c r="N20" s="1"/>
    </row>
  </sheetData>
  <mergeCells count="2">
    <mergeCell ref="A1:K1"/>
    <mergeCell ref="B13:C1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���R�s9�hQ�RVY0�W��e�4��b^_aSё��/f�|��sVY�R��Vċ�N*g��hS+T�MR�S}Yċ�s
�b^�p�[�s0�[ɋ0�]ċ0�p�[�s*g��hS+T�MR�S}Yċ�s
�b^�p�[�s0�[ɋ0�]ċ0�p�[�sg�R�s9�g�R�s9�g�R�s9�g�R�s9�g�R�s9�g�R�s9�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店面工资核算表</vt:lpstr>
      <vt:lpstr>店长+技师老师提成</vt:lpstr>
      <vt:lpstr>技术老师奖励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</cp:lastModifiedBy>
  <dcterms:created xsi:type="dcterms:W3CDTF">2023-05-13T19:15:00Z</dcterms:created>
  <dcterms:modified xsi:type="dcterms:W3CDTF">2024-06-12T01:43:32Z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2052-12.1.0.15358</vt:lpwstr>
  </property>
  <property fmtid="{D5CDD505-2E9C-101B-9397-08002B2CF9AE}" pid="3" name="ICV">
    <vt:lpwstr>D6FC19BBFDE545B7B6EC32082A47BC1C_12</vt:lpwstr>
  </property>
  <property fmtid="{D5CDD505-2E9C-101B-9397-08002B2CF9AE}" pid="4" name="KSOReadingLayout">
    <vt:bool>true</vt:bool>
  </property>
</Properties>
</file>